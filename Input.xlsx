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105" yWindow="-105" windowWidth="19425" windowHeight="11625" firstSheet="1" activeTab="1"/>
  </bookViews>
  <sheets>
    <sheet name="Plan by domain (not used)" sheetId="13" state="hidden" r:id="rId1"/>
    <sheet name="SPC-CPN_Q&amp;A" sheetId="22" r:id="rId2"/>
    <sheet name="Batch planning - review" sheetId="4" state="hidden" r:id="rId3"/>
    <sheet name="Writing assignments" sheetId="33" state="hidden" r:id="rId4"/>
    <sheet name="Internal - tracking items" sheetId="6" state="hidden" r:id="rId5"/>
  </sheets>
  <definedNames>
    <definedName name="_xlnm._FilterDatabase" localSheetId="1" hidden="1">'SPC-CPN_Q&amp;A'!$A$1:$O$601</definedName>
    <definedName name="Assessment">#REF!</definedName>
    <definedName name="Domain">#REF!</definedName>
    <definedName name="Health_Promotion">#REF!</definedName>
    <definedName name="Planning_and_Management">#REF!</definedName>
    <definedName name="Professional_Responsibilities">#REF!</definedName>
    <definedName name="Stage">'Internal - tracking items'!$A$2:$A$10</definedName>
    <definedName name="System">#REF!</definedName>
    <definedName name="Workflow">'Internal - tracking items'!$G$2:$G$6</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8" i="33" l="1"/>
  <c r="N97" i="33"/>
  <c r="N96" i="33"/>
  <c r="N95" i="33"/>
  <c r="N94" i="33"/>
  <c r="N93" i="33"/>
  <c r="N92" i="33"/>
  <c r="N91" i="33"/>
  <c r="N90" i="33"/>
  <c r="N89" i="33"/>
  <c r="N88" i="33"/>
  <c r="N87" i="33"/>
  <c r="N86" i="33"/>
  <c r="N85" i="33"/>
  <c r="N84" i="33"/>
  <c r="N83" i="33"/>
  <c r="N82" i="33"/>
  <c r="N81" i="33"/>
  <c r="N80" i="33"/>
  <c r="N79" i="33"/>
  <c r="N78" i="33"/>
  <c r="N77" i="33"/>
  <c r="N76" i="33"/>
  <c r="N75" i="33"/>
  <c r="N74" i="33"/>
  <c r="N73" i="33"/>
  <c r="N72" i="33"/>
  <c r="N71" i="33"/>
  <c r="N70" i="33"/>
  <c r="N69" i="33"/>
  <c r="N68" i="33"/>
  <c r="N67" i="33"/>
  <c r="N66" i="33"/>
  <c r="N65" i="33"/>
  <c r="N64" i="33"/>
  <c r="N63" i="33"/>
  <c r="N62" i="33"/>
  <c r="N61" i="33"/>
  <c r="N60" i="33"/>
  <c r="N59" i="33"/>
  <c r="N58" i="33"/>
  <c r="N57" i="33"/>
  <c r="N56" i="33"/>
  <c r="N55" i="33"/>
  <c r="N54" i="33"/>
  <c r="N53" i="33"/>
  <c r="N52" i="33"/>
  <c r="N51" i="33"/>
  <c r="N50" i="33"/>
  <c r="N49" i="33"/>
  <c r="N48" i="33"/>
  <c r="N47" i="33"/>
  <c r="N46" i="33"/>
  <c r="N45" i="33"/>
  <c r="N44" i="33"/>
  <c r="N43" i="33"/>
  <c r="N42" i="33"/>
  <c r="N41" i="33"/>
  <c r="N40" i="33"/>
  <c r="N39" i="33"/>
  <c r="N38" i="33"/>
  <c r="N37" i="33"/>
  <c r="N36" i="33"/>
  <c r="N35" i="33"/>
  <c r="N34" i="33"/>
  <c r="N33" i="33"/>
  <c r="N32" i="33"/>
  <c r="N31" i="33"/>
  <c r="N30" i="33"/>
  <c r="N29" i="33"/>
  <c r="N28" i="33"/>
  <c r="N27" i="33"/>
  <c r="N26" i="33"/>
  <c r="N25" i="33"/>
  <c r="N24" i="33"/>
  <c r="N23" i="33"/>
  <c r="N22" i="33"/>
  <c r="N21" i="33"/>
  <c r="N20" i="33"/>
  <c r="N19" i="33"/>
  <c r="N18" i="33"/>
  <c r="N17" i="33"/>
  <c r="N16" i="33"/>
  <c r="N15" i="33"/>
  <c r="N14" i="33"/>
  <c r="N13" i="33"/>
  <c r="N12" i="33"/>
  <c r="N11" i="33"/>
  <c r="N10" i="33"/>
  <c r="N9" i="33"/>
  <c r="N8" i="33"/>
  <c r="N7" i="33"/>
  <c r="N6" i="33"/>
  <c r="N5" i="33"/>
  <c r="V98" i="33" l="1"/>
  <c r="U98" i="33"/>
  <c r="T98" i="33"/>
  <c r="V97" i="33"/>
  <c r="U97" i="33"/>
  <c r="T97" i="33"/>
  <c r="V96" i="33"/>
  <c r="U96" i="33"/>
  <c r="T96" i="33"/>
  <c r="V95" i="33"/>
  <c r="U95" i="33"/>
  <c r="T95" i="33"/>
  <c r="V94" i="33"/>
  <c r="U94" i="33"/>
  <c r="T94" i="33"/>
  <c r="V93" i="33"/>
  <c r="U93" i="33"/>
  <c r="T93" i="33"/>
  <c r="V92" i="33"/>
  <c r="U92" i="33"/>
  <c r="T92" i="33"/>
  <c r="V91" i="33"/>
  <c r="U91" i="33"/>
  <c r="T91" i="33"/>
  <c r="V90" i="33"/>
  <c r="U90" i="33"/>
  <c r="T90" i="33"/>
  <c r="V89" i="33"/>
  <c r="U89" i="33"/>
  <c r="T89" i="33"/>
  <c r="V88" i="33"/>
  <c r="U88" i="33"/>
  <c r="T88" i="33"/>
  <c r="V87" i="33"/>
  <c r="U87" i="33"/>
  <c r="T87" i="33"/>
  <c r="V86" i="33"/>
  <c r="U86" i="33"/>
  <c r="T86" i="33"/>
  <c r="V85" i="33"/>
  <c r="U85" i="33"/>
  <c r="T85" i="33"/>
  <c r="V84" i="33"/>
  <c r="U84" i="33"/>
  <c r="T84" i="33"/>
  <c r="V83" i="33"/>
  <c r="U83" i="33"/>
  <c r="T83" i="33"/>
  <c r="V82" i="33"/>
  <c r="U82" i="33"/>
  <c r="T82" i="33"/>
  <c r="V81" i="33"/>
  <c r="U81" i="33"/>
  <c r="T81" i="33"/>
  <c r="V80" i="33"/>
  <c r="U80" i="33"/>
  <c r="T80" i="33"/>
  <c r="V79" i="33"/>
  <c r="U79" i="33"/>
  <c r="T79" i="33"/>
  <c r="V78" i="33"/>
  <c r="U78" i="33"/>
  <c r="T78" i="33"/>
  <c r="V77" i="33"/>
  <c r="U77" i="33"/>
  <c r="T77" i="33"/>
  <c r="V76" i="33"/>
  <c r="U76" i="33"/>
  <c r="T76" i="33"/>
  <c r="V75" i="33"/>
  <c r="U75" i="33"/>
  <c r="T75" i="33"/>
  <c r="V74" i="33"/>
  <c r="U74" i="33"/>
  <c r="T74" i="33"/>
  <c r="V73" i="33"/>
  <c r="U73" i="33"/>
  <c r="T73" i="33"/>
  <c r="V72" i="33"/>
  <c r="U72" i="33"/>
  <c r="T72" i="33"/>
  <c r="V71" i="33"/>
  <c r="U71" i="33"/>
  <c r="T71" i="33"/>
  <c r="V70" i="33"/>
  <c r="U70" i="33"/>
  <c r="T70" i="33"/>
  <c r="V69" i="33"/>
  <c r="U69" i="33"/>
  <c r="T69" i="33"/>
  <c r="V68" i="33"/>
  <c r="U68" i="33"/>
  <c r="T68" i="33"/>
  <c r="V67" i="33"/>
  <c r="U67" i="33"/>
  <c r="T67" i="33"/>
  <c r="V66" i="33"/>
  <c r="U66" i="33"/>
  <c r="T66" i="33"/>
  <c r="V65" i="33"/>
  <c r="U65" i="33"/>
  <c r="T65" i="33"/>
  <c r="V64" i="33"/>
  <c r="U64" i="33"/>
  <c r="T64" i="33"/>
  <c r="V63" i="33"/>
  <c r="U63" i="33"/>
  <c r="T63" i="33"/>
  <c r="V62" i="33"/>
  <c r="U62" i="33"/>
  <c r="T62" i="33"/>
  <c r="V61" i="33"/>
  <c r="U61" i="33"/>
  <c r="T61" i="33"/>
  <c r="V60" i="33"/>
  <c r="U60" i="33"/>
  <c r="T60" i="33"/>
  <c r="V59" i="33"/>
  <c r="U59" i="33"/>
  <c r="T59" i="33"/>
  <c r="V58" i="33"/>
  <c r="U58" i="33"/>
  <c r="T58" i="33"/>
  <c r="V57" i="33"/>
  <c r="U57" i="33"/>
  <c r="T57" i="33"/>
  <c r="V56" i="33"/>
  <c r="U56" i="33"/>
  <c r="T56" i="33"/>
  <c r="V55" i="33"/>
  <c r="U55" i="33"/>
  <c r="T55" i="33"/>
  <c r="V54" i="33"/>
  <c r="U54" i="33"/>
  <c r="T54" i="33"/>
  <c r="V53" i="33"/>
  <c r="U53" i="33"/>
  <c r="T53" i="33"/>
  <c r="V52" i="33"/>
  <c r="U52" i="33"/>
  <c r="T52" i="33"/>
  <c r="V51" i="33"/>
  <c r="U51" i="33"/>
  <c r="T51" i="33"/>
  <c r="V50" i="33"/>
  <c r="U50" i="33"/>
  <c r="T50" i="33"/>
  <c r="V49" i="33"/>
  <c r="U49" i="33"/>
  <c r="T49" i="33"/>
  <c r="V48" i="33"/>
  <c r="U48" i="33"/>
  <c r="T48" i="33"/>
  <c r="V47" i="33"/>
  <c r="U47" i="33"/>
  <c r="T47" i="33"/>
  <c r="V46" i="33"/>
  <c r="U46" i="33"/>
  <c r="T46" i="33"/>
  <c r="V45" i="33"/>
  <c r="U45" i="33"/>
  <c r="T45" i="33"/>
  <c r="V44" i="33"/>
  <c r="U44" i="33"/>
  <c r="T44" i="33"/>
  <c r="V43" i="33"/>
  <c r="U43" i="33"/>
  <c r="T43" i="33"/>
  <c r="V42" i="33"/>
  <c r="U42" i="33"/>
  <c r="T42" i="33"/>
  <c r="V41" i="33"/>
  <c r="U41" i="33"/>
  <c r="T41" i="33"/>
  <c r="V40" i="33"/>
  <c r="U40" i="33"/>
  <c r="T40" i="33"/>
  <c r="V39" i="33"/>
  <c r="U39" i="33"/>
  <c r="T39" i="33"/>
  <c r="V38" i="33"/>
  <c r="U38" i="33"/>
  <c r="T38" i="33"/>
  <c r="V37" i="33"/>
  <c r="U37" i="33"/>
  <c r="T37" i="33"/>
  <c r="V36" i="33"/>
  <c r="U36" i="33"/>
  <c r="T36" i="33"/>
  <c r="V35" i="33"/>
  <c r="U35" i="33"/>
  <c r="T35" i="33"/>
  <c r="V34" i="33"/>
  <c r="U34" i="33"/>
  <c r="T34" i="33"/>
  <c r="V33" i="33"/>
  <c r="U33" i="33"/>
  <c r="T33" i="33"/>
  <c r="V32" i="33"/>
  <c r="U32" i="33"/>
  <c r="T32" i="33"/>
  <c r="V31" i="33"/>
  <c r="U31" i="33"/>
  <c r="T31" i="33"/>
  <c r="V30" i="33"/>
  <c r="U30" i="33"/>
  <c r="T30" i="33"/>
  <c r="V29" i="33"/>
  <c r="U29" i="33"/>
  <c r="T29" i="33"/>
  <c r="V28" i="33"/>
  <c r="U28" i="33"/>
  <c r="T28" i="33"/>
  <c r="V27" i="33"/>
  <c r="U27" i="33"/>
  <c r="T27" i="33"/>
  <c r="V26" i="33"/>
  <c r="U26" i="33"/>
  <c r="T26" i="33"/>
  <c r="V25" i="33"/>
  <c r="U25" i="33"/>
  <c r="T25" i="33"/>
  <c r="V24" i="33"/>
  <c r="U24" i="33"/>
  <c r="T24" i="33"/>
  <c r="V23" i="33"/>
  <c r="U23" i="33"/>
  <c r="T23" i="33"/>
  <c r="V22" i="33"/>
  <c r="U22" i="33"/>
  <c r="T22" i="33"/>
  <c r="V21" i="33"/>
  <c r="U21" i="33"/>
  <c r="T21" i="33"/>
  <c r="V20" i="33"/>
  <c r="U20" i="33"/>
  <c r="T20" i="33"/>
  <c r="V19" i="33"/>
  <c r="U19" i="33"/>
  <c r="T19" i="33"/>
  <c r="V18" i="33"/>
  <c r="U18" i="33"/>
  <c r="T18" i="33"/>
  <c r="V17" i="33"/>
  <c r="U17" i="33"/>
  <c r="T17" i="33"/>
  <c r="V16" i="33"/>
  <c r="U16" i="33"/>
  <c r="T16" i="33"/>
  <c r="V15" i="33"/>
  <c r="U15" i="33"/>
  <c r="T15" i="33"/>
  <c r="V14" i="33"/>
  <c r="U14" i="33"/>
  <c r="T14" i="33"/>
  <c r="V13" i="33"/>
  <c r="U13" i="33"/>
  <c r="T13" i="33"/>
  <c r="V12" i="33"/>
  <c r="U12" i="33"/>
  <c r="T12" i="33"/>
  <c r="V11" i="33"/>
  <c r="U11" i="33"/>
  <c r="T11" i="33"/>
  <c r="V10" i="33"/>
  <c r="U10" i="33"/>
  <c r="T10" i="33"/>
  <c r="V9" i="33"/>
  <c r="U9" i="33"/>
  <c r="T9" i="33"/>
  <c r="V8" i="33"/>
  <c r="U8" i="33"/>
  <c r="T8" i="33"/>
  <c r="V7" i="33"/>
  <c r="U7" i="33"/>
  <c r="T7" i="33"/>
  <c r="V6" i="33"/>
  <c r="U6" i="33"/>
  <c r="T6" i="33"/>
  <c r="V5" i="33"/>
  <c r="U5" i="33"/>
  <c r="T5" i="33"/>
  <c r="Q3" i="33"/>
  <c r="P3" i="33"/>
  <c r="O3" i="33"/>
  <c r="N3" i="33"/>
  <c r="S10" i="33" l="1"/>
  <c r="S86" i="33"/>
  <c r="S26" i="33"/>
  <c r="S34" i="33"/>
  <c r="S42" i="33"/>
  <c r="S50" i="33"/>
  <c r="S58" i="33"/>
  <c r="S5" i="33"/>
  <c r="S54" i="33"/>
  <c r="S62" i="33"/>
  <c r="S70" i="33"/>
  <c r="S78" i="33"/>
  <c r="S13" i="33"/>
  <c r="S21" i="33"/>
  <c r="S29" i="33"/>
  <c r="S37" i="33"/>
  <c r="S45" i="33"/>
  <c r="S11" i="33"/>
  <c r="S19" i="33"/>
  <c r="S27" i="33"/>
  <c r="S35" i="33"/>
  <c r="S43" i="33"/>
  <c r="S51" i="33"/>
  <c r="S59" i="33"/>
  <c r="S67" i="33"/>
  <c r="S75" i="33"/>
  <c r="S83" i="33"/>
  <c r="S91" i="33"/>
  <c r="S94" i="33"/>
  <c r="S7" i="33"/>
  <c r="S15" i="33"/>
  <c r="S23" i="33"/>
  <c r="S31" i="33"/>
  <c r="S39" i="33"/>
  <c r="S47" i="33"/>
  <c r="S55" i="33"/>
  <c r="S63" i="33"/>
  <c r="S71" i="33"/>
  <c r="S79" i="33"/>
  <c r="S87" i="33"/>
  <c r="S66" i="33"/>
  <c r="S53" i="33"/>
  <c r="S69" i="33"/>
  <c r="S64" i="33"/>
  <c r="S14" i="33"/>
  <c r="S22" i="33"/>
  <c r="S30" i="33"/>
  <c r="S38" i="33"/>
  <c r="S46" i="33"/>
  <c r="S6" i="33"/>
  <c r="S9" i="33"/>
  <c r="S17" i="33"/>
  <c r="S25" i="33"/>
  <c r="S33" i="33"/>
  <c r="S41" i="33"/>
  <c r="S49" i="33"/>
  <c r="S57" i="33"/>
  <c r="S65" i="33"/>
  <c r="S73" i="33"/>
  <c r="S81" i="33"/>
  <c r="S89" i="33"/>
  <c r="S97" i="33"/>
  <c r="S12" i="33"/>
  <c r="S20" i="33"/>
  <c r="S28" i="33"/>
  <c r="S36" i="33"/>
  <c r="S44" i="33"/>
  <c r="S52" i="33"/>
  <c r="S60" i="33"/>
  <c r="S68" i="33"/>
  <c r="S76" i="33"/>
  <c r="S84" i="33"/>
  <c r="S92" i="33"/>
  <c r="S95" i="33"/>
  <c r="S18" i="33"/>
  <c r="S74" i="33"/>
  <c r="S82" i="33"/>
  <c r="S90" i="33"/>
  <c r="S98" i="33"/>
  <c r="S61" i="33"/>
  <c r="S77" i="33"/>
  <c r="S85" i="33"/>
  <c r="S93" i="33"/>
  <c r="S8" i="33"/>
  <c r="S16" i="33"/>
  <c r="S24" i="33"/>
  <c r="S32" i="33"/>
  <c r="S40" i="33"/>
  <c r="S48" i="33"/>
  <c r="S56" i="33"/>
  <c r="S72" i="33"/>
  <c r="S80" i="33"/>
  <c r="S88" i="33"/>
  <c r="S96" i="33"/>
  <c r="BY98" i="33" l="1"/>
  <c r="BX98" i="33"/>
  <c r="BW98" i="33"/>
  <c r="BY97" i="33"/>
  <c r="BX97" i="33"/>
  <c r="BW97" i="33"/>
  <c r="BY96" i="33"/>
  <c r="BX96" i="33"/>
  <c r="BW96" i="33"/>
  <c r="BY95" i="33"/>
  <c r="BX95" i="33"/>
  <c r="BW95" i="33"/>
  <c r="BY94" i="33"/>
  <c r="BX94" i="33"/>
  <c r="BW94" i="33"/>
  <c r="BY93" i="33"/>
  <c r="BX93" i="33"/>
  <c r="BW93" i="33"/>
  <c r="BY92" i="33"/>
  <c r="BX92" i="33"/>
  <c r="BW92" i="33"/>
  <c r="BY91" i="33"/>
  <c r="BX91" i="33"/>
  <c r="BW91" i="33"/>
  <c r="BY90" i="33"/>
  <c r="BX90" i="33"/>
  <c r="BW90" i="33"/>
  <c r="BY89" i="33"/>
  <c r="BX89" i="33"/>
  <c r="BW89" i="33"/>
  <c r="BY88" i="33"/>
  <c r="BX88" i="33"/>
  <c r="BW88" i="33"/>
  <c r="BY87" i="33"/>
  <c r="BX87" i="33"/>
  <c r="BW87" i="33"/>
  <c r="BY86" i="33"/>
  <c r="BX86" i="33"/>
  <c r="BW86" i="33"/>
  <c r="BY85" i="33"/>
  <c r="BX85" i="33"/>
  <c r="BW85" i="33"/>
  <c r="BY84" i="33"/>
  <c r="BX84" i="33"/>
  <c r="BW84" i="33"/>
  <c r="BY83" i="33"/>
  <c r="BX83" i="33"/>
  <c r="BW83" i="33"/>
  <c r="BY82" i="33"/>
  <c r="BX82" i="33"/>
  <c r="BW82" i="33"/>
  <c r="BY81" i="33"/>
  <c r="BX81" i="33"/>
  <c r="BW81" i="33"/>
  <c r="BY80" i="33"/>
  <c r="BX80" i="33"/>
  <c r="BW80" i="33"/>
  <c r="BY79" i="33"/>
  <c r="BX79" i="33"/>
  <c r="BW79" i="33"/>
  <c r="BY78" i="33"/>
  <c r="BX78" i="33"/>
  <c r="BW78" i="33"/>
  <c r="BY77" i="33"/>
  <c r="BX77" i="33"/>
  <c r="BW77" i="33"/>
  <c r="BY76" i="33"/>
  <c r="BX76" i="33"/>
  <c r="BW76" i="33"/>
  <c r="BY75" i="33"/>
  <c r="BX75" i="33"/>
  <c r="BW75" i="33"/>
  <c r="BY74" i="33"/>
  <c r="BX74" i="33"/>
  <c r="BW74" i="33"/>
  <c r="BY73" i="33"/>
  <c r="BX73" i="33"/>
  <c r="BW73" i="33"/>
  <c r="BY72" i="33"/>
  <c r="BX72" i="33"/>
  <c r="BW72" i="33"/>
  <c r="BY71" i="33"/>
  <c r="BX71" i="33"/>
  <c r="BW71" i="33"/>
  <c r="BY70" i="33"/>
  <c r="BX70" i="33"/>
  <c r="BW70" i="33"/>
  <c r="BY69" i="33"/>
  <c r="BX69" i="33"/>
  <c r="BW69" i="33"/>
  <c r="BY68" i="33"/>
  <c r="BX68" i="33"/>
  <c r="BW68" i="33"/>
  <c r="BY67" i="33"/>
  <c r="BX67" i="33"/>
  <c r="BW67" i="33"/>
  <c r="BY66" i="33"/>
  <c r="BX66" i="33"/>
  <c r="BW66" i="33"/>
  <c r="BY65" i="33"/>
  <c r="BX65" i="33"/>
  <c r="BW65" i="33"/>
  <c r="BY64" i="33"/>
  <c r="BX64" i="33"/>
  <c r="BW64" i="33"/>
  <c r="BY63" i="33"/>
  <c r="BX63" i="33"/>
  <c r="BW63" i="33"/>
  <c r="BY62" i="33"/>
  <c r="BX62" i="33"/>
  <c r="BW62" i="33"/>
  <c r="BY61" i="33"/>
  <c r="BX61" i="33"/>
  <c r="BW61" i="33"/>
  <c r="BY60" i="33"/>
  <c r="BX60" i="33"/>
  <c r="BW60" i="33"/>
  <c r="BY59" i="33"/>
  <c r="BX59" i="33"/>
  <c r="BW59" i="33"/>
  <c r="BY58" i="33"/>
  <c r="BX58" i="33"/>
  <c r="BW58" i="33"/>
  <c r="BY57" i="33"/>
  <c r="BX57" i="33"/>
  <c r="BW57" i="33"/>
  <c r="BY56" i="33"/>
  <c r="BX56" i="33"/>
  <c r="BW56" i="33"/>
  <c r="BY55" i="33"/>
  <c r="BX55" i="33"/>
  <c r="BW55" i="33"/>
  <c r="BY54" i="33"/>
  <c r="BX54" i="33"/>
  <c r="BW54" i="33"/>
  <c r="BY53" i="33"/>
  <c r="BX53" i="33"/>
  <c r="BW53" i="33"/>
  <c r="BY52" i="33"/>
  <c r="BX52" i="33"/>
  <c r="BW52" i="33"/>
  <c r="BY51" i="33"/>
  <c r="BX51" i="33"/>
  <c r="BW51" i="33"/>
  <c r="BY50" i="33"/>
  <c r="BX50" i="33"/>
  <c r="BW50" i="33"/>
  <c r="BY49" i="33"/>
  <c r="BX49" i="33"/>
  <c r="BW49" i="33"/>
  <c r="BY48" i="33"/>
  <c r="BX48" i="33"/>
  <c r="BW48" i="33"/>
  <c r="BY47" i="33"/>
  <c r="BX47" i="33"/>
  <c r="BW47" i="33"/>
  <c r="BY46" i="33"/>
  <c r="BX46" i="33"/>
  <c r="BW46" i="33"/>
  <c r="BY45" i="33"/>
  <c r="BX45" i="33"/>
  <c r="BW45" i="33"/>
  <c r="BY44" i="33"/>
  <c r="BX44" i="33"/>
  <c r="BW44" i="33"/>
  <c r="BY43" i="33"/>
  <c r="BX43" i="33"/>
  <c r="BW43" i="33"/>
  <c r="BY42" i="33"/>
  <c r="BX42" i="33"/>
  <c r="BW42" i="33"/>
  <c r="BY41" i="33"/>
  <c r="BX41" i="33"/>
  <c r="BW41" i="33"/>
  <c r="BY40" i="33"/>
  <c r="BX40" i="33"/>
  <c r="BW40" i="33"/>
  <c r="BY39" i="33"/>
  <c r="BX39" i="33"/>
  <c r="BW39" i="33"/>
  <c r="BY38" i="33"/>
  <c r="BX38" i="33"/>
  <c r="BW38" i="33"/>
  <c r="BY37" i="33"/>
  <c r="BX37" i="33"/>
  <c r="BW37" i="33"/>
  <c r="BY36" i="33"/>
  <c r="BX36" i="33"/>
  <c r="BW36" i="33"/>
  <c r="BY35" i="33"/>
  <c r="BX35" i="33"/>
  <c r="BW35" i="33"/>
  <c r="BY34" i="33"/>
  <c r="BX34" i="33"/>
  <c r="BW34" i="33"/>
  <c r="BY33" i="33"/>
  <c r="BX33" i="33"/>
  <c r="BW33" i="33"/>
  <c r="BY32" i="33"/>
  <c r="BX32" i="33"/>
  <c r="BW32" i="33"/>
  <c r="BY31" i="33"/>
  <c r="BX31" i="33"/>
  <c r="BW31" i="33"/>
  <c r="BY30" i="33"/>
  <c r="BX30" i="33"/>
  <c r="BW30" i="33"/>
  <c r="BY29" i="33"/>
  <c r="BX29" i="33"/>
  <c r="BW29" i="33"/>
  <c r="BY28" i="33"/>
  <c r="BX28" i="33"/>
  <c r="BW28" i="33"/>
  <c r="BY27" i="33"/>
  <c r="BX27" i="33"/>
  <c r="BW27" i="33"/>
  <c r="BY26" i="33"/>
  <c r="BX26" i="33"/>
  <c r="BW26" i="33"/>
  <c r="BY25" i="33"/>
  <c r="BX25" i="33"/>
  <c r="BW25" i="33"/>
  <c r="BY24" i="33"/>
  <c r="BX24" i="33"/>
  <c r="BW24" i="33"/>
  <c r="BY23" i="33"/>
  <c r="BX23" i="33"/>
  <c r="BW23" i="33"/>
  <c r="BY22" i="33"/>
  <c r="BX22" i="33"/>
  <c r="BW22" i="33"/>
  <c r="BY21" i="33"/>
  <c r="BX21" i="33"/>
  <c r="BW21" i="33"/>
  <c r="BY20" i="33"/>
  <c r="BX20" i="33"/>
  <c r="BW20" i="33"/>
  <c r="BY19" i="33"/>
  <c r="BX19" i="33"/>
  <c r="BW19" i="33"/>
  <c r="BY18" i="33"/>
  <c r="BX18" i="33"/>
  <c r="BW18" i="33"/>
  <c r="BY17" i="33"/>
  <c r="BX17" i="33"/>
  <c r="BW17" i="33"/>
  <c r="BY16" i="33"/>
  <c r="BX16" i="33"/>
  <c r="BW16" i="33"/>
  <c r="BY15" i="33"/>
  <c r="BX15" i="33"/>
  <c r="BW15" i="33"/>
  <c r="BY14" i="33"/>
  <c r="BX14" i="33"/>
  <c r="BW14" i="33"/>
  <c r="BY13" i="33"/>
  <c r="BX13" i="33"/>
  <c r="BW13" i="33"/>
  <c r="BY12" i="33"/>
  <c r="BX12" i="33"/>
  <c r="BW12" i="33"/>
  <c r="BY11" i="33"/>
  <c r="BX11" i="33"/>
  <c r="BW11" i="33"/>
  <c r="BY10" i="33"/>
  <c r="BX10" i="33"/>
  <c r="BW10" i="33"/>
  <c r="BY9" i="33"/>
  <c r="BX9" i="33"/>
  <c r="BW9" i="33"/>
  <c r="BY8" i="33"/>
  <c r="BX8" i="33"/>
  <c r="BW8" i="33"/>
  <c r="BY7" i="33"/>
  <c r="BX7" i="33"/>
  <c r="BW7" i="33"/>
  <c r="BY6" i="33"/>
  <c r="BX6" i="33"/>
  <c r="BW6" i="33"/>
  <c r="BY5" i="33"/>
  <c r="BX5" i="33"/>
  <c r="BW5" i="33"/>
  <c r="BO98" i="33"/>
  <c r="BN98" i="33"/>
  <c r="BM98" i="33"/>
  <c r="BO97" i="33"/>
  <c r="BN97" i="33"/>
  <c r="BM97" i="33"/>
  <c r="BO96" i="33"/>
  <c r="BN96" i="33"/>
  <c r="BM96" i="33"/>
  <c r="BO95" i="33"/>
  <c r="BN95" i="33"/>
  <c r="BM95" i="33"/>
  <c r="BO94" i="33"/>
  <c r="BN94" i="33"/>
  <c r="BM94" i="33"/>
  <c r="BO93" i="33"/>
  <c r="BN93" i="33"/>
  <c r="BM93" i="33"/>
  <c r="BO92" i="33"/>
  <c r="BN92" i="33"/>
  <c r="BM92" i="33"/>
  <c r="BO91" i="33"/>
  <c r="BN91" i="33"/>
  <c r="BM91" i="33"/>
  <c r="BO90" i="33"/>
  <c r="BN90" i="33"/>
  <c r="BM90" i="33"/>
  <c r="BO89" i="33"/>
  <c r="BN89" i="33"/>
  <c r="BM89" i="33"/>
  <c r="BO88" i="33"/>
  <c r="BN88" i="33"/>
  <c r="BM88" i="33"/>
  <c r="BO87" i="33"/>
  <c r="BN87" i="33"/>
  <c r="BM87" i="33"/>
  <c r="BO86" i="33"/>
  <c r="BN86" i="33"/>
  <c r="BM86" i="33"/>
  <c r="BO85" i="33"/>
  <c r="BN85" i="33"/>
  <c r="BM85" i="33"/>
  <c r="BO84" i="33"/>
  <c r="BN84" i="33"/>
  <c r="BM84" i="33"/>
  <c r="BO83" i="33"/>
  <c r="BN83" i="33"/>
  <c r="BM83" i="33"/>
  <c r="BO82" i="33"/>
  <c r="BN82" i="33"/>
  <c r="BM82" i="33"/>
  <c r="BO81" i="33"/>
  <c r="BN81" i="33"/>
  <c r="BM81" i="33"/>
  <c r="BO80" i="33"/>
  <c r="BN80" i="33"/>
  <c r="BM80" i="33"/>
  <c r="BO79" i="33"/>
  <c r="BN79" i="33"/>
  <c r="BM79" i="33"/>
  <c r="BO78" i="33"/>
  <c r="BN78" i="33"/>
  <c r="BM78" i="33"/>
  <c r="BO77" i="33"/>
  <c r="BN77" i="33"/>
  <c r="BM77" i="33"/>
  <c r="BO76" i="33"/>
  <c r="BN76" i="33"/>
  <c r="BM76" i="33"/>
  <c r="BO75" i="33"/>
  <c r="BN75" i="33"/>
  <c r="BM75" i="33"/>
  <c r="BO74" i="33"/>
  <c r="BN74" i="33"/>
  <c r="BM74" i="33"/>
  <c r="BO73" i="33"/>
  <c r="BN73" i="33"/>
  <c r="BM73" i="33"/>
  <c r="BO72" i="33"/>
  <c r="BN72" i="33"/>
  <c r="BM72" i="33"/>
  <c r="BO71" i="33"/>
  <c r="BN71" i="33"/>
  <c r="BM71" i="33"/>
  <c r="BO70" i="33"/>
  <c r="BN70" i="33"/>
  <c r="BM70" i="33"/>
  <c r="BO69" i="33"/>
  <c r="BN69" i="33"/>
  <c r="BM69" i="33"/>
  <c r="BO68" i="33"/>
  <c r="BN68" i="33"/>
  <c r="BM68" i="33"/>
  <c r="BO67" i="33"/>
  <c r="BN67" i="33"/>
  <c r="BM67" i="33"/>
  <c r="BO66" i="33"/>
  <c r="BN66" i="33"/>
  <c r="BM66" i="33"/>
  <c r="BO65" i="33"/>
  <c r="BN65" i="33"/>
  <c r="BM65" i="33"/>
  <c r="BO64" i="33"/>
  <c r="BN64" i="33"/>
  <c r="BM64" i="33"/>
  <c r="BO63" i="33"/>
  <c r="BN63" i="33"/>
  <c r="BM63" i="33"/>
  <c r="BO62" i="33"/>
  <c r="BN62" i="33"/>
  <c r="BM62" i="33"/>
  <c r="BO61" i="33"/>
  <c r="BN61" i="33"/>
  <c r="BM61" i="33"/>
  <c r="BO60" i="33"/>
  <c r="BN60" i="33"/>
  <c r="BM60" i="33"/>
  <c r="BO59" i="33"/>
  <c r="BN59" i="33"/>
  <c r="BM59" i="33"/>
  <c r="BO58" i="33"/>
  <c r="BN58" i="33"/>
  <c r="BM58" i="33"/>
  <c r="BO57" i="33"/>
  <c r="BN57" i="33"/>
  <c r="BM57" i="33"/>
  <c r="BO56" i="33"/>
  <c r="BN56" i="33"/>
  <c r="BM56" i="33"/>
  <c r="BO55" i="33"/>
  <c r="BN55" i="33"/>
  <c r="BM55" i="33"/>
  <c r="BO54" i="33"/>
  <c r="BN54" i="33"/>
  <c r="BM54" i="33"/>
  <c r="BO53" i="33"/>
  <c r="BN53" i="33"/>
  <c r="BM53" i="33"/>
  <c r="BO52" i="33"/>
  <c r="BN52" i="33"/>
  <c r="BM52" i="33"/>
  <c r="BO51" i="33"/>
  <c r="BN51" i="33"/>
  <c r="BM51" i="33"/>
  <c r="BO50" i="33"/>
  <c r="BN50" i="33"/>
  <c r="BM50" i="33"/>
  <c r="BO49" i="33"/>
  <c r="BN49" i="33"/>
  <c r="BM49" i="33"/>
  <c r="BO48" i="33"/>
  <c r="BN48" i="33"/>
  <c r="BM48" i="33"/>
  <c r="BO47" i="33"/>
  <c r="BN47" i="33"/>
  <c r="BM47" i="33"/>
  <c r="BO46" i="33"/>
  <c r="BN46" i="33"/>
  <c r="BM46" i="33"/>
  <c r="BO45" i="33"/>
  <c r="BN45" i="33"/>
  <c r="BM45" i="33"/>
  <c r="BO44" i="33"/>
  <c r="BN44" i="33"/>
  <c r="BM44" i="33"/>
  <c r="BO43" i="33"/>
  <c r="BN43" i="33"/>
  <c r="BM43" i="33"/>
  <c r="BO42" i="33"/>
  <c r="BN42" i="33"/>
  <c r="BM42" i="33"/>
  <c r="BO41" i="33"/>
  <c r="BN41" i="33"/>
  <c r="BM41" i="33"/>
  <c r="BO40" i="33"/>
  <c r="BN40" i="33"/>
  <c r="BM40" i="33"/>
  <c r="BO39" i="33"/>
  <c r="BN39" i="33"/>
  <c r="BM39" i="33"/>
  <c r="BO38" i="33"/>
  <c r="BN38" i="33"/>
  <c r="BM38" i="33"/>
  <c r="BO37" i="33"/>
  <c r="BN37" i="33"/>
  <c r="BM37" i="33"/>
  <c r="BO36" i="33"/>
  <c r="BN36" i="33"/>
  <c r="BM36" i="33"/>
  <c r="BO35" i="33"/>
  <c r="BN35" i="33"/>
  <c r="BM35" i="33"/>
  <c r="BO34" i="33"/>
  <c r="BN34" i="33"/>
  <c r="BM34" i="33"/>
  <c r="BO33" i="33"/>
  <c r="BN33" i="33"/>
  <c r="BM33" i="33"/>
  <c r="BO32" i="33"/>
  <c r="BN32" i="33"/>
  <c r="BM32" i="33"/>
  <c r="BO31" i="33"/>
  <c r="BN31" i="33"/>
  <c r="BM31" i="33"/>
  <c r="BO30" i="33"/>
  <c r="BN30" i="33"/>
  <c r="BM30" i="33"/>
  <c r="BO29" i="33"/>
  <c r="BN29" i="33"/>
  <c r="BM29" i="33"/>
  <c r="BO28" i="33"/>
  <c r="BN28" i="33"/>
  <c r="BM28" i="33"/>
  <c r="BO27" i="33"/>
  <c r="BN27" i="33"/>
  <c r="BM27" i="33"/>
  <c r="BO26" i="33"/>
  <c r="BN26" i="33"/>
  <c r="BM26" i="33"/>
  <c r="BO25" i="33"/>
  <c r="BN25" i="33"/>
  <c r="BM25" i="33"/>
  <c r="BO24" i="33"/>
  <c r="BN24" i="33"/>
  <c r="BM24" i="33"/>
  <c r="BO23" i="33"/>
  <c r="BN23" i="33"/>
  <c r="BM23" i="33"/>
  <c r="BO22" i="33"/>
  <c r="BN22" i="33"/>
  <c r="BM22" i="33"/>
  <c r="BO21" i="33"/>
  <c r="BN21" i="33"/>
  <c r="BM21" i="33"/>
  <c r="BO20" i="33"/>
  <c r="BN20" i="33"/>
  <c r="BM20" i="33"/>
  <c r="BO19" i="33"/>
  <c r="BN19" i="33"/>
  <c r="BM19" i="33"/>
  <c r="BO18" i="33"/>
  <c r="BN18" i="33"/>
  <c r="BM18" i="33"/>
  <c r="BO17" i="33"/>
  <c r="BN17" i="33"/>
  <c r="BM17" i="33"/>
  <c r="BO16" i="33"/>
  <c r="BN16" i="33"/>
  <c r="BM16" i="33"/>
  <c r="BO15" i="33"/>
  <c r="BN15" i="33"/>
  <c r="BM15" i="33"/>
  <c r="BO14" i="33"/>
  <c r="BN14" i="33"/>
  <c r="BM14" i="33"/>
  <c r="BO13" i="33"/>
  <c r="BN13" i="33"/>
  <c r="BM13" i="33"/>
  <c r="BO12" i="33"/>
  <c r="BN12" i="33"/>
  <c r="BM12" i="33"/>
  <c r="BO11" i="33"/>
  <c r="BN11" i="33"/>
  <c r="BM11" i="33"/>
  <c r="BO10" i="33"/>
  <c r="BN10" i="33"/>
  <c r="BM10" i="33"/>
  <c r="BO9" i="33"/>
  <c r="BN9" i="33"/>
  <c r="BM9" i="33"/>
  <c r="BO8" i="33"/>
  <c r="BN8" i="33"/>
  <c r="BM8" i="33"/>
  <c r="BO7" i="33"/>
  <c r="BN7" i="33"/>
  <c r="BM7" i="33"/>
  <c r="BO6" i="33"/>
  <c r="BN6" i="33"/>
  <c r="BM6" i="33"/>
  <c r="BO5" i="33"/>
  <c r="BN5" i="33"/>
  <c r="BM5" i="33"/>
  <c r="BE98" i="33"/>
  <c r="BD98" i="33"/>
  <c r="BC98" i="33"/>
  <c r="BE97" i="33"/>
  <c r="BD97" i="33"/>
  <c r="BC97" i="33"/>
  <c r="BE96" i="33"/>
  <c r="BD96" i="33"/>
  <c r="BC96" i="33"/>
  <c r="BE95" i="33"/>
  <c r="BD95" i="33"/>
  <c r="BC95" i="33"/>
  <c r="BE94" i="33"/>
  <c r="BD94" i="33"/>
  <c r="BC94" i="33"/>
  <c r="BE93" i="33"/>
  <c r="BD93" i="33"/>
  <c r="BC93" i="33"/>
  <c r="BE92" i="33"/>
  <c r="BD92" i="33"/>
  <c r="BC92" i="33"/>
  <c r="BE91" i="33"/>
  <c r="BD91" i="33"/>
  <c r="BC91" i="33"/>
  <c r="BE90" i="33"/>
  <c r="BD90" i="33"/>
  <c r="BC90" i="33"/>
  <c r="BE89" i="33"/>
  <c r="BD89" i="33"/>
  <c r="BC89" i="33"/>
  <c r="BE88" i="33"/>
  <c r="BD88" i="33"/>
  <c r="BC88" i="33"/>
  <c r="BE87" i="33"/>
  <c r="BD87" i="33"/>
  <c r="BC87" i="33"/>
  <c r="BE86" i="33"/>
  <c r="BD86" i="33"/>
  <c r="BC86" i="33"/>
  <c r="BE85" i="33"/>
  <c r="BD85" i="33"/>
  <c r="BC85" i="33"/>
  <c r="BE84" i="33"/>
  <c r="BD84" i="33"/>
  <c r="BC84" i="33"/>
  <c r="BE83" i="33"/>
  <c r="BD83" i="33"/>
  <c r="BC83" i="33"/>
  <c r="BE82" i="33"/>
  <c r="BD82" i="33"/>
  <c r="BC82" i="33"/>
  <c r="BE81" i="33"/>
  <c r="BD81" i="33"/>
  <c r="BC81" i="33"/>
  <c r="BE80" i="33"/>
  <c r="BD80" i="33"/>
  <c r="BC80" i="33"/>
  <c r="BE79" i="33"/>
  <c r="BD79" i="33"/>
  <c r="BC79" i="33"/>
  <c r="BE78" i="33"/>
  <c r="BD78" i="33"/>
  <c r="BC78" i="33"/>
  <c r="BE77" i="33"/>
  <c r="BD77" i="33"/>
  <c r="BC77" i="33"/>
  <c r="BE76" i="33"/>
  <c r="BD76" i="33"/>
  <c r="BC76" i="33"/>
  <c r="BE75" i="33"/>
  <c r="BD75" i="33"/>
  <c r="BC75" i="33"/>
  <c r="BE74" i="33"/>
  <c r="BD74" i="33"/>
  <c r="BC74" i="33"/>
  <c r="BE73" i="33"/>
  <c r="BD73" i="33"/>
  <c r="BC73" i="33"/>
  <c r="BE72" i="33"/>
  <c r="BD72" i="33"/>
  <c r="BC72" i="33"/>
  <c r="BE71" i="33"/>
  <c r="BD71" i="33"/>
  <c r="BC71" i="33"/>
  <c r="BE70" i="33"/>
  <c r="BD70" i="33"/>
  <c r="BC70" i="33"/>
  <c r="BE69" i="33"/>
  <c r="BD69" i="33"/>
  <c r="BC69" i="33"/>
  <c r="BE68" i="33"/>
  <c r="BD68" i="33"/>
  <c r="BC68" i="33"/>
  <c r="BE67" i="33"/>
  <c r="BD67" i="33"/>
  <c r="BC67" i="33"/>
  <c r="BE66" i="33"/>
  <c r="BD66" i="33"/>
  <c r="BC66" i="33"/>
  <c r="BE65" i="33"/>
  <c r="BD65" i="33"/>
  <c r="BC65" i="33"/>
  <c r="BE64" i="33"/>
  <c r="BD64" i="33"/>
  <c r="BC64" i="33"/>
  <c r="BE63" i="33"/>
  <c r="BD63" i="33"/>
  <c r="BC63" i="33"/>
  <c r="BE62" i="33"/>
  <c r="BD62" i="33"/>
  <c r="BC62" i="33"/>
  <c r="BE61" i="33"/>
  <c r="BD61" i="33"/>
  <c r="BC61" i="33"/>
  <c r="BE60" i="33"/>
  <c r="BD60" i="33"/>
  <c r="BC60" i="33"/>
  <c r="BE59" i="33"/>
  <c r="BD59" i="33"/>
  <c r="BC59" i="33"/>
  <c r="BE58" i="33"/>
  <c r="BD58" i="33"/>
  <c r="BC58" i="33"/>
  <c r="BE57" i="33"/>
  <c r="BD57" i="33"/>
  <c r="BC57" i="33"/>
  <c r="BE56" i="33"/>
  <c r="BD56" i="33"/>
  <c r="BC56" i="33"/>
  <c r="BE55" i="33"/>
  <c r="BD55" i="33"/>
  <c r="BC55" i="33"/>
  <c r="BE54" i="33"/>
  <c r="BD54" i="33"/>
  <c r="BC54" i="33"/>
  <c r="BE53" i="33"/>
  <c r="BD53" i="33"/>
  <c r="BC53" i="33"/>
  <c r="BE52" i="33"/>
  <c r="BD52" i="33"/>
  <c r="BC52" i="33"/>
  <c r="BE51" i="33"/>
  <c r="BD51" i="33"/>
  <c r="BC51" i="33"/>
  <c r="BE50" i="33"/>
  <c r="BD50" i="33"/>
  <c r="BC50" i="33"/>
  <c r="BE49" i="33"/>
  <c r="BD49" i="33"/>
  <c r="BC49" i="33"/>
  <c r="BE48" i="33"/>
  <c r="BD48" i="33"/>
  <c r="BC48" i="33"/>
  <c r="BE47" i="33"/>
  <c r="BD47" i="33"/>
  <c r="BC47" i="33"/>
  <c r="BE46" i="33"/>
  <c r="BD46" i="33"/>
  <c r="BC46" i="33"/>
  <c r="BE45" i="33"/>
  <c r="BD45" i="33"/>
  <c r="BC45" i="33"/>
  <c r="BE44" i="33"/>
  <c r="BD44" i="33"/>
  <c r="BC44" i="33"/>
  <c r="BE43" i="33"/>
  <c r="BD43" i="33"/>
  <c r="BC43" i="33"/>
  <c r="BE42" i="33"/>
  <c r="BD42" i="33"/>
  <c r="BC42" i="33"/>
  <c r="BE41" i="33"/>
  <c r="BD41" i="33"/>
  <c r="BC41" i="33"/>
  <c r="BE40" i="33"/>
  <c r="BD40" i="33"/>
  <c r="BC40" i="33"/>
  <c r="BE39" i="33"/>
  <c r="BD39" i="33"/>
  <c r="BC39" i="33"/>
  <c r="BE38" i="33"/>
  <c r="BD38" i="33"/>
  <c r="BC38" i="33"/>
  <c r="BE37" i="33"/>
  <c r="BD37" i="33"/>
  <c r="BC37" i="33"/>
  <c r="BE36" i="33"/>
  <c r="BD36" i="33"/>
  <c r="BC36" i="33"/>
  <c r="BE35" i="33"/>
  <c r="BD35" i="33"/>
  <c r="BC35" i="33"/>
  <c r="BE34" i="33"/>
  <c r="BD34" i="33"/>
  <c r="BC34" i="33"/>
  <c r="BE33" i="33"/>
  <c r="BD33" i="33"/>
  <c r="BC33" i="33"/>
  <c r="BE32" i="33"/>
  <c r="BD32" i="33"/>
  <c r="BC32" i="33"/>
  <c r="BE31" i="33"/>
  <c r="BD31" i="33"/>
  <c r="BC31" i="33"/>
  <c r="BE30" i="33"/>
  <c r="BD30" i="33"/>
  <c r="BC30" i="33"/>
  <c r="BE29" i="33"/>
  <c r="BD29" i="33"/>
  <c r="BC29" i="33"/>
  <c r="BE28" i="33"/>
  <c r="BD28" i="33"/>
  <c r="BC28" i="33"/>
  <c r="BE27" i="33"/>
  <c r="BD27" i="33"/>
  <c r="BC27" i="33"/>
  <c r="BE26" i="33"/>
  <c r="BD26" i="33"/>
  <c r="BC26" i="33"/>
  <c r="BE25" i="33"/>
  <c r="BD25" i="33"/>
  <c r="BC25" i="33"/>
  <c r="BE24" i="33"/>
  <c r="BD24" i="33"/>
  <c r="BC24" i="33"/>
  <c r="BE23" i="33"/>
  <c r="BD23" i="33"/>
  <c r="BC23" i="33"/>
  <c r="BE22" i="33"/>
  <c r="BD22" i="33"/>
  <c r="BC22" i="33"/>
  <c r="BE21" i="33"/>
  <c r="BD21" i="33"/>
  <c r="BC21" i="33"/>
  <c r="BE20" i="33"/>
  <c r="BD20" i="33"/>
  <c r="BC20" i="33"/>
  <c r="BE19" i="33"/>
  <c r="BD19" i="33"/>
  <c r="BC19" i="33"/>
  <c r="BE18" i="33"/>
  <c r="BD18" i="33"/>
  <c r="BC18" i="33"/>
  <c r="BE17" i="33"/>
  <c r="BD17" i="33"/>
  <c r="BC17" i="33"/>
  <c r="BE16" i="33"/>
  <c r="BD16" i="33"/>
  <c r="BC16" i="33"/>
  <c r="BE15" i="33"/>
  <c r="BD15" i="33"/>
  <c r="BC15" i="33"/>
  <c r="BE14" i="33"/>
  <c r="BD14" i="33"/>
  <c r="BC14" i="33"/>
  <c r="BE13" i="33"/>
  <c r="BD13" i="33"/>
  <c r="BC13" i="33"/>
  <c r="BE12" i="33"/>
  <c r="BD12" i="33"/>
  <c r="BC12" i="33"/>
  <c r="BE11" i="33"/>
  <c r="BD11" i="33"/>
  <c r="BC11" i="33"/>
  <c r="BE10" i="33"/>
  <c r="BD10" i="33"/>
  <c r="BC10" i="33"/>
  <c r="BE9" i="33"/>
  <c r="BD9" i="33"/>
  <c r="BC9" i="33"/>
  <c r="BE8" i="33"/>
  <c r="BD8" i="33"/>
  <c r="BC8" i="33"/>
  <c r="BE7" i="33"/>
  <c r="BD7" i="33"/>
  <c r="BC7" i="33"/>
  <c r="BE6" i="33"/>
  <c r="BD6" i="33"/>
  <c r="BC6" i="33"/>
  <c r="BE5" i="33"/>
  <c r="BD5" i="33"/>
  <c r="BC5" i="33"/>
  <c r="AP98" i="33"/>
  <c r="AO98" i="33"/>
  <c r="AN98" i="33"/>
  <c r="AP97" i="33"/>
  <c r="AO97" i="33"/>
  <c r="AN97" i="33"/>
  <c r="AP96" i="33"/>
  <c r="AO96" i="33"/>
  <c r="AN96" i="33"/>
  <c r="AP95" i="33"/>
  <c r="AO95" i="33"/>
  <c r="AN95" i="33"/>
  <c r="AP94" i="33"/>
  <c r="AO94" i="33"/>
  <c r="AN94" i="33"/>
  <c r="AP93" i="33"/>
  <c r="AO93" i="33"/>
  <c r="AN93" i="33"/>
  <c r="AP92" i="33"/>
  <c r="AO92" i="33"/>
  <c r="AN92" i="33"/>
  <c r="AP91" i="33"/>
  <c r="AO91" i="33"/>
  <c r="AN91" i="33"/>
  <c r="AP90" i="33"/>
  <c r="AO90" i="33"/>
  <c r="AN90" i="33"/>
  <c r="AP89" i="33"/>
  <c r="AO89" i="33"/>
  <c r="AN89" i="33"/>
  <c r="AP88" i="33"/>
  <c r="AO88" i="33"/>
  <c r="AN88" i="33"/>
  <c r="AP87" i="33"/>
  <c r="AO87" i="33"/>
  <c r="AN87" i="33"/>
  <c r="AP86" i="33"/>
  <c r="AO86" i="33"/>
  <c r="AN86" i="33"/>
  <c r="AP85" i="33"/>
  <c r="AO85" i="33"/>
  <c r="AN85" i="33"/>
  <c r="AP84" i="33"/>
  <c r="AO84" i="33"/>
  <c r="AN84" i="33"/>
  <c r="AP83" i="33"/>
  <c r="AO83" i="33"/>
  <c r="AN83" i="33"/>
  <c r="AP82" i="33"/>
  <c r="AO82" i="33"/>
  <c r="AN82" i="33"/>
  <c r="AP81" i="33"/>
  <c r="AO81" i="33"/>
  <c r="AN81" i="33"/>
  <c r="AP80" i="33"/>
  <c r="AO80" i="33"/>
  <c r="AN80" i="33"/>
  <c r="AP79" i="33"/>
  <c r="AO79" i="33"/>
  <c r="AN79" i="33"/>
  <c r="AP78" i="33"/>
  <c r="AO78" i="33"/>
  <c r="AN78" i="33"/>
  <c r="AP77" i="33"/>
  <c r="AO77" i="33"/>
  <c r="AN77" i="33"/>
  <c r="AP76" i="33"/>
  <c r="AO76" i="33"/>
  <c r="AN76" i="33"/>
  <c r="AP75" i="33"/>
  <c r="AO75" i="33"/>
  <c r="AN75" i="33"/>
  <c r="AP74" i="33"/>
  <c r="AO74" i="33"/>
  <c r="AN74" i="33"/>
  <c r="AP73" i="33"/>
  <c r="AO73" i="33"/>
  <c r="AN73" i="33"/>
  <c r="AP72" i="33"/>
  <c r="AO72" i="33"/>
  <c r="AN72" i="33"/>
  <c r="AP71" i="33"/>
  <c r="AO71" i="33"/>
  <c r="AN71" i="33"/>
  <c r="AP70" i="33"/>
  <c r="AO70" i="33"/>
  <c r="AN70" i="33"/>
  <c r="AP69" i="33"/>
  <c r="AO69" i="33"/>
  <c r="AN69" i="33"/>
  <c r="AP68" i="33"/>
  <c r="AO68" i="33"/>
  <c r="AN68" i="33"/>
  <c r="AP67" i="33"/>
  <c r="AO67" i="33"/>
  <c r="AN67" i="33"/>
  <c r="AP66" i="33"/>
  <c r="AO66" i="33"/>
  <c r="AN66" i="33"/>
  <c r="AP65" i="33"/>
  <c r="AO65" i="33"/>
  <c r="AN65" i="33"/>
  <c r="AP64" i="33"/>
  <c r="AO64" i="33"/>
  <c r="AN64" i="33"/>
  <c r="AP63" i="33"/>
  <c r="AO63" i="33"/>
  <c r="AN63" i="33"/>
  <c r="AP62" i="33"/>
  <c r="AO62" i="33"/>
  <c r="AN62" i="33"/>
  <c r="AP61" i="33"/>
  <c r="AO61" i="33"/>
  <c r="AN61" i="33"/>
  <c r="AP60" i="33"/>
  <c r="AO60" i="33"/>
  <c r="AN60" i="33"/>
  <c r="AP59" i="33"/>
  <c r="AO59" i="33"/>
  <c r="AN59" i="33"/>
  <c r="AP58" i="33"/>
  <c r="AO58" i="33"/>
  <c r="AN58" i="33"/>
  <c r="AP57" i="33"/>
  <c r="AO57" i="33"/>
  <c r="AN57" i="33"/>
  <c r="AP56" i="33"/>
  <c r="AO56" i="33"/>
  <c r="AN56" i="33"/>
  <c r="AP55" i="33"/>
  <c r="AO55" i="33"/>
  <c r="AN55" i="33"/>
  <c r="AP54" i="33"/>
  <c r="AO54" i="33"/>
  <c r="AN54" i="33"/>
  <c r="AP53" i="33"/>
  <c r="AO53" i="33"/>
  <c r="AN53" i="33"/>
  <c r="AP52" i="33"/>
  <c r="AO52" i="33"/>
  <c r="AN52" i="33"/>
  <c r="AP51" i="33"/>
  <c r="AO51" i="33"/>
  <c r="AN51" i="33"/>
  <c r="AP50" i="33"/>
  <c r="AO50" i="33"/>
  <c r="AN50" i="33"/>
  <c r="AP49" i="33"/>
  <c r="AO49" i="33"/>
  <c r="AN49" i="33"/>
  <c r="AP48" i="33"/>
  <c r="AO48" i="33"/>
  <c r="AN48" i="33"/>
  <c r="AP47" i="33"/>
  <c r="AO47" i="33"/>
  <c r="AN47" i="33"/>
  <c r="AP46" i="33"/>
  <c r="AO46" i="33"/>
  <c r="AN46" i="33"/>
  <c r="AP45" i="33"/>
  <c r="AO45" i="33"/>
  <c r="AN45" i="33"/>
  <c r="AP44" i="33"/>
  <c r="AO44" i="33"/>
  <c r="AN44" i="33"/>
  <c r="AP43" i="33"/>
  <c r="AO43" i="33"/>
  <c r="AN43" i="33"/>
  <c r="AP42" i="33"/>
  <c r="AO42" i="33"/>
  <c r="AN42" i="33"/>
  <c r="AP41" i="33"/>
  <c r="AO41" i="33"/>
  <c r="AN41" i="33"/>
  <c r="AP40" i="33"/>
  <c r="AO40" i="33"/>
  <c r="AN40" i="33"/>
  <c r="AP39" i="33"/>
  <c r="AO39" i="33"/>
  <c r="AN39" i="33"/>
  <c r="AP38" i="33"/>
  <c r="AO38" i="33"/>
  <c r="AN38" i="33"/>
  <c r="AP37" i="33"/>
  <c r="AO37" i="33"/>
  <c r="AN37" i="33"/>
  <c r="AP36" i="33"/>
  <c r="AO36" i="33"/>
  <c r="AN36" i="33"/>
  <c r="AP35" i="33"/>
  <c r="AO35" i="33"/>
  <c r="AN35" i="33"/>
  <c r="AP34" i="33"/>
  <c r="AO34" i="33"/>
  <c r="AN34" i="33"/>
  <c r="AP33" i="33"/>
  <c r="AO33" i="33"/>
  <c r="AN33" i="33"/>
  <c r="AP32" i="33"/>
  <c r="AO32" i="33"/>
  <c r="AN32" i="33"/>
  <c r="AP31" i="33"/>
  <c r="AO31" i="33"/>
  <c r="AN31" i="33"/>
  <c r="AP30" i="33"/>
  <c r="AO30" i="33"/>
  <c r="AN30" i="33"/>
  <c r="AP29" i="33"/>
  <c r="AO29" i="33"/>
  <c r="AN29" i="33"/>
  <c r="AP28" i="33"/>
  <c r="AO28" i="33"/>
  <c r="AN28" i="33"/>
  <c r="AP27" i="33"/>
  <c r="AO27" i="33"/>
  <c r="AN27" i="33"/>
  <c r="AP26" i="33"/>
  <c r="AO26" i="33"/>
  <c r="AN26" i="33"/>
  <c r="AP25" i="33"/>
  <c r="AO25" i="33"/>
  <c r="AN25" i="33"/>
  <c r="AP24" i="33"/>
  <c r="AO24" i="33"/>
  <c r="AN24" i="33"/>
  <c r="AP23" i="33"/>
  <c r="AO23" i="33"/>
  <c r="AN23" i="33"/>
  <c r="AP22" i="33"/>
  <c r="AO22" i="33"/>
  <c r="AN22" i="33"/>
  <c r="AP21" i="33"/>
  <c r="AO21" i="33"/>
  <c r="AN21" i="33"/>
  <c r="AP20" i="33"/>
  <c r="AO20" i="33"/>
  <c r="AN20" i="33"/>
  <c r="AP19" i="33"/>
  <c r="AO19" i="33"/>
  <c r="AN19" i="33"/>
  <c r="AP18" i="33"/>
  <c r="AO18" i="33"/>
  <c r="AN18" i="33"/>
  <c r="AP17" i="33"/>
  <c r="AO17" i="33"/>
  <c r="AN17" i="33"/>
  <c r="AP16" i="33"/>
  <c r="AO16" i="33"/>
  <c r="AN16" i="33"/>
  <c r="AP15" i="33"/>
  <c r="AO15" i="33"/>
  <c r="AN15" i="33"/>
  <c r="AP14" i="33"/>
  <c r="AO14" i="33"/>
  <c r="AN14" i="33"/>
  <c r="AP13" i="33"/>
  <c r="AO13" i="33"/>
  <c r="AN13" i="33"/>
  <c r="AP12" i="33"/>
  <c r="AO12" i="33"/>
  <c r="AN12" i="33"/>
  <c r="AP11" i="33"/>
  <c r="AO11" i="33"/>
  <c r="AN11" i="33"/>
  <c r="AP10" i="33"/>
  <c r="AO10" i="33"/>
  <c r="AN10" i="33"/>
  <c r="AP9" i="33"/>
  <c r="AO9" i="33"/>
  <c r="AN9" i="33"/>
  <c r="AP8" i="33"/>
  <c r="AO8" i="33"/>
  <c r="AN8" i="33"/>
  <c r="AP7" i="33"/>
  <c r="AO7" i="33"/>
  <c r="AN7" i="33"/>
  <c r="AP6" i="33"/>
  <c r="AO6" i="33"/>
  <c r="AN6" i="33"/>
  <c r="AP5" i="33"/>
  <c r="AO5" i="33"/>
  <c r="AN5" i="33"/>
  <c r="AF98" i="33"/>
  <c r="AE98" i="33"/>
  <c r="AD98" i="33"/>
  <c r="AF97" i="33"/>
  <c r="AE97" i="33"/>
  <c r="AD97" i="33"/>
  <c r="AF96" i="33"/>
  <c r="AE96" i="33"/>
  <c r="AD96" i="33"/>
  <c r="AF95" i="33"/>
  <c r="AE95" i="33"/>
  <c r="AD95" i="33"/>
  <c r="AF94" i="33"/>
  <c r="AE94" i="33"/>
  <c r="AD94" i="33"/>
  <c r="AF93" i="33"/>
  <c r="AE93" i="33"/>
  <c r="AD93" i="33"/>
  <c r="AF92" i="33"/>
  <c r="AE92" i="33"/>
  <c r="AD92" i="33"/>
  <c r="AF91" i="33"/>
  <c r="AE91" i="33"/>
  <c r="AD91" i="33"/>
  <c r="AF90" i="33"/>
  <c r="AE90" i="33"/>
  <c r="AD90" i="33"/>
  <c r="AF89" i="33"/>
  <c r="AE89" i="33"/>
  <c r="AD89" i="33"/>
  <c r="AF88" i="33"/>
  <c r="AE88" i="33"/>
  <c r="AD88" i="33"/>
  <c r="AF87" i="33"/>
  <c r="AE87" i="33"/>
  <c r="AD87" i="33"/>
  <c r="AF86" i="33"/>
  <c r="AE86" i="33"/>
  <c r="AD86" i="33"/>
  <c r="AF85" i="33"/>
  <c r="AE85" i="33"/>
  <c r="AD85" i="33"/>
  <c r="AF84" i="33"/>
  <c r="AE84" i="33"/>
  <c r="AD84" i="33"/>
  <c r="AF83" i="33"/>
  <c r="AE83" i="33"/>
  <c r="AD83" i="33"/>
  <c r="AF82" i="33"/>
  <c r="AE82" i="33"/>
  <c r="AD82" i="33"/>
  <c r="AF81" i="33"/>
  <c r="AE81" i="33"/>
  <c r="AD81" i="33"/>
  <c r="AF80" i="33"/>
  <c r="AE80" i="33"/>
  <c r="AD80" i="33"/>
  <c r="AF79" i="33"/>
  <c r="AE79" i="33"/>
  <c r="AD79" i="33"/>
  <c r="AF78" i="33"/>
  <c r="AE78" i="33"/>
  <c r="AD78" i="33"/>
  <c r="AF77" i="33"/>
  <c r="AE77" i="33"/>
  <c r="AD77" i="33"/>
  <c r="AF76" i="33"/>
  <c r="AE76" i="33"/>
  <c r="AD76" i="33"/>
  <c r="AF75" i="33"/>
  <c r="AE75" i="33"/>
  <c r="AD75" i="33"/>
  <c r="AF74" i="33"/>
  <c r="AE74" i="33"/>
  <c r="AD74" i="33"/>
  <c r="AF73" i="33"/>
  <c r="AE73" i="33"/>
  <c r="AD73" i="33"/>
  <c r="AF72" i="33"/>
  <c r="AE72" i="33"/>
  <c r="AD72" i="33"/>
  <c r="AF71" i="33"/>
  <c r="AE71" i="33"/>
  <c r="AD71" i="33"/>
  <c r="AF70" i="33"/>
  <c r="AE70" i="33"/>
  <c r="AD70" i="33"/>
  <c r="AF69" i="33"/>
  <c r="AE69" i="33"/>
  <c r="AD69" i="33"/>
  <c r="AF68" i="33"/>
  <c r="AE68" i="33"/>
  <c r="AD68" i="33"/>
  <c r="AF67" i="33"/>
  <c r="AE67" i="33"/>
  <c r="AD67" i="33"/>
  <c r="AF66" i="33"/>
  <c r="AE66" i="33"/>
  <c r="AD66" i="33"/>
  <c r="AF65" i="33"/>
  <c r="AE65" i="33"/>
  <c r="AD65" i="33"/>
  <c r="AF64" i="33"/>
  <c r="AE64" i="33"/>
  <c r="AD64" i="33"/>
  <c r="AF63" i="33"/>
  <c r="AE63" i="33"/>
  <c r="AD63" i="33"/>
  <c r="AF62" i="33"/>
  <c r="AE62" i="33"/>
  <c r="AD62" i="33"/>
  <c r="AF61" i="33"/>
  <c r="AE61" i="33"/>
  <c r="AD61" i="33"/>
  <c r="AF60" i="33"/>
  <c r="AE60" i="33"/>
  <c r="AD60" i="33"/>
  <c r="AF59" i="33"/>
  <c r="AE59" i="33"/>
  <c r="AD59" i="33"/>
  <c r="AF58" i="33"/>
  <c r="AE58" i="33"/>
  <c r="AD58" i="33"/>
  <c r="AF57" i="33"/>
  <c r="AE57" i="33"/>
  <c r="AD57" i="33"/>
  <c r="AF56" i="33"/>
  <c r="AE56" i="33"/>
  <c r="AD56" i="33"/>
  <c r="AF55" i="33"/>
  <c r="AE55" i="33"/>
  <c r="AD55" i="33"/>
  <c r="AF54" i="33"/>
  <c r="AE54" i="33"/>
  <c r="AD54" i="33"/>
  <c r="AF53" i="33"/>
  <c r="AE53" i="33"/>
  <c r="AD53" i="33"/>
  <c r="AF52" i="33"/>
  <c r="AE52" i="33"/>
  <c r="AD52" i="33"/>
  <c r="AF51" i="33"/>
  <c r="AE51" i="33"/>
  <c r="AD51" i="33"/>
  <c r="AF50" i="33"/>
  <c r="AE50" i="33"/>
  <c r="AD50" i="33"/>
  <c r="AF49" i="33"/>
  <c r="AE49" i="33"/>
  <c r="AD49" i="33"/>
  <c r="AF48" i="33"/>
  <c r="AE48" i="33"/>
  <c r="AD48" i="33"/>
  <c r="AF47" i="33"/>
  <c r="AE47" i="33"/>
  <c r="AD47" i="33"/>
  <c r="AF46" i="33"/>
  <c r="AE46" i="33"/>
  <c r="AD46" i="33"/>
  <c r="AF45" i="33"/>
  <c r="AE45" i="33"/>
  <c r="AD45" i="33"/>
  <c r="AF44" i="33"/>
  <c r="AE44" i="33"/>
  <c r="AD44" i="33"/>
  <c r="AF43" i="33"/>
  <c r="AE43" i="33"/>
  <c r="AD43" i="33"/>
  <c r="AF42" i="33"/>
  <c r="AE42" i="33"/>
  <c r="AD42" i="33"/>
  <c r="AF41" i="33"/>
  <c r="AE41" i="33"/>
  <c r="AD41" i="33"/>
  <c r="AF40" i="33"/>
  <c r="AE40" i="33"/>
  <c r="AD40" i="33"/>
  <c r="AF39" i="33"/>
  <c r="AE39" i="33"/>
  <c r="AD39" i="33"/>
  <c r="AF38" i="33"/>
  <c r="AE38" i="33"/>
  <c r="AD38" i="33"/>
  <c r="AF37" i="33"/>
  <c r="AE37" i="33"/>
  <c r="AD37" i="33"/>
  <c r="AF36" i="33"/>
  <c r="AE36" i="33"/>
  <c r="AD36" i="33"/>
  <c r="AF35" i="33"/>
  <c r="AE35" i="33"/>
  <c r="AD35" i="33"/>
  <c r="AF34" i="33"/>
  <c r="AE34" i="33"/>
  <c r="AD34" i="33"/>
  <c r="AF33" i="33"/>
  <c r="AE33" i="33"/>
  <c r="AD33" i="33"/>
  <c r="AF32" i="33"/>
  <c r="AE32" i="33"/>
  <c r="AD32" i="33"/>
  <c r="AF31" i="33"/>
  <c r="AE31" i="33"/>
  <c r="AD31" i="33"/>
  <c r="AF30" i="33"/>
  <c r="AE30" i="33"/>
  <c r="AD30" i="33"/>
  <c r="AF29" i="33"/>
  <c r="AE29" i="33"/>
  <c r="AD29" i="33"/>
  <c r="AF28" i="33"/>
  <c r="AE28" i="33"/>
  <c r="AD28" i="33"/>
  <c r="AF27" i="33"/>
  <c r="AE27" i="33"/>
  <c r="AD27" i="33"/>
  <c r="AF26" i="33"/>
  <c r="AE26" i="33"/>
  <c r="AD26" i="33"/>
  <c r="AF25" i="33"/>
  <c r="AE25" i="33"/>
  <c r="AD25" i="33"/>
  <c r="AF24" i="33"/>
  <c r="AE24" i="33"/>
  <c r="AD24" i="33"/>
  <c r="AF23" i="33"/>
  <c r="AE23" i="33"/>
  <c r="AD23" i="33"/>
  <c r="AF22" i="33"/>
  <c r="AE22" i="33"/>
  <c r="AD22" i="33"/>
  <c r="AF21" i="33"/>
  <c r="AE21" i="33"/>
  <c r="AD21" i="33"/>
  <c r="AF20" i="33"/>
  <c r="AE20" i="33"/>
  <c r="AD20" i="33"/>
  <c r="AF19" i="33"/>
  <c r="AE19" i="33"/>
  <c r="AD19" i="33"/>
  <c r="AF18" i="33"/>
  <c r="AE18" i="33"/>
  <c r="AD18" i="33"/>
  <c r="AF17" i="33"/>
  <c r="AE17" i="33"/>
  <c r="AD17" i="33"/>
  <c r="AF16" i="33"/>
  <c r="AE16" i="33"/>
  <c r="AD16" i="33"/>
  <c r="AF15" i="33"/>
  <c r="AE15" i="33"/>
  <c r="AD15" i="33"/>
  <c r="AF14" i="33"/>
  <c r="AE14" i="33"/>
  <c r="AD14" i="33"/>
  <c r="AF13" i="33"/>
  <c r="AE13" i="33"/>
  <c r="AD13" i="33"/>
  <c r="AF12" i="33"/>
  <c r="AE12" i="33"/>
  <c r="AD12" i="33"/>
  <c r="AF11" i="33"/>
  <c r="AE11" i="33"/>
  <c r="AD11" i="33"/>
  <c r="AF10" i="33"/>
  <c r="AE10" i="33"/>
  <c r="AD10" i="33"/>
  <c r="AF9" i="33"/>
  <c r="AE9" i="33"/>
  <c r="AD9" i="33"/>
  <c r="AF8" i="33"/>
  <c r="AE8" i="33"/>
  <c r="AD8" i="33"/>
  <c r="AF7" i="33"/>
  <c r="AE7" i="33"/>
  <c r="AD7" i="33"/>
  <c r="AF6" i="33"/>
  <c r="AE6" i="33"/>
  <c r="AD6" i="33"/>
  <c r="AF5" i="33"/>
  <c r="AE5" i="33"/>
  <c r="AD5" i="33"/>
  <c r="AC96" i="33" l="1"/>
  <c r="AC85" i="33"/>
  <c r="AC86" i="33"/>
  <c r="AC82" i="33"/>
  <c r="AC91" i="33"/>
  <c r="AC66" i="33"/>
  <c r="AC98" i="33"/>
  <c r="AC74" i="33"/>
  <c r="AC64" i="33"/>
  <c r="AC88" i="33"/>
  <c r="AC93" i="33"/>
  <c r="AC57" i="33"/>
  <c r="AC90" i="33"/>
  <c r="AC75" i="33"/>
  <c r="AC58" i="33"/>
  <c r="AC70" i="33"/>
  <c r="AC78" i="33"/>
  <c r="AC83" i="33"/>
  <c r="AC63" i="33"/>
  <c r="AC71" i="33"/>
  <c r="AC73" i="33"/>
  <c r="AC79" i="33"/>
  <c r="AC81" i="33"/>
  <c r="AC84" i="33"/>
  <c r="AC87" i="33"/>
  <c r="AC92" i="33"/>
  <c r="AC95" i="33"/>
  <c r="AC65" i="33"/>
  <c r="AC49" i="33"/>
  <c r="AC67" i="33"/>
  <c r="AC56" i="33"/>
  <c r="AC59" i="33"/>
  <c r="AC69" i="33"/>
  <c r="AC72" i="33"/>
  <c r="AC77" i="33"/>
  <c r="AC80" i="33"/>
  <c r="AC62" i="33"/>
  <c r="AC68" i="33"/>
  <c r="AC76" i="33"/>
  <c r="AC52" i="33"/>
  <c r="AC55" i="33"/>
  <c r="AC54" i="33"/>
  <c r="AC41" i="33"/>
  <c r="AC43" i="33"/>
  <c r="AC51" i="33"/>
  <c r="AC46" i="33"/>
  <c r="AC45" i="33"/>
  <c r="AC38" i="33"/>
  <c r="AC37" i="33"/>
  <c r="AC39" i="33"/>
  <c r="AC47" i="33"/>
  <c r="AC53" i="33"/>
  <c r="AC29" i="33"/>
  <c r="AC36" i="33"/>
  <c r="AC42" i="33"/>
  <c r="AC44" i="33"/>
  <c r="AC50" i="33"/>
  <c r="AC61" i="33"/>
  <c r="AC32" i="33"/>
  <c r="AC35" i="33"/>
  <c r="AC40" i="33"/>
  <c r="AC48" i="33"/>
  <c r="AC60" i="33"/>
  <c r="AC25" i="33"/>
  <c r="AC30" i="33"/>
  <c r="AC33" i="33"/>
  <c r="AC34" i="33"/>
  <c r="BV97" i="33"/>
  <c r="BL5" i="33"/>
  <c r="BL13" i="33"/>
  <c r="BL21" i="33"/>
  <c r="BL45" i="33"/>
  <c r="BL53" i="33"/>
  <c r="BL61" i="33"/>
  <c r="BV79" i="33"/>
  <c r="BV87" i="33"/>
  <c r="BV95" i="33"/>
  <c r="AC24" i="33"/>
  <c r="AC14" i="33"/>
  <c r="AC22" i="33"/>
  <c r="AM8" i="33"/>
  <c r="AM16" i="33"/>
  <c r="AM24" i="33"/>
  <c r="AM32" i="33"/>
  <c r="AM40" i="33"/>
  <c r="AM48" i="33"/>
  <c r="AC20" i="33"/>
  <c r="AC26" i="33"/>
  <c r="AC28" i="33"/>
  <c r="AC31" i="33"/>
  <c r="BV91" i="33"/>
  <c r="BV25" i="33"/>
  <c r="BV33" i="33"/>
  <c r="BV41" i="33"/>
  <c r="BV49" i="33"/>
  <c r="BV57" i="33"/>
  <c r="BV65" i="33"/>
  <c r="AM6" i="33"/>
  <c r="AM14" i="33"/>
  <c r="AM22" i="33"/>
  <c r="AM30" i="33"/>
  <c r="AM38" i="33"/>
  <c r="AM46" i="33"/>
  <c r="AM54" i="33"/>
  <c r="AM62" i="33"/>
  <c r="AM70" i="33"/>
  <c r="AM78" i="33"/>
  <c r="AM86" i="33"/>
  <c r="AM94" i="33"/>
  <c r="BL29" i="33"/>
  <c r="BL37" i="33"/>
  <c r="BL69" i="33"/>
  <c r="BL77" i="33"/>
  <c r="BL85" i="33"/>
  <c r="BL93" i="33"/>
  <c r="BV7" i="33"/>
  <c r="BV15" i="33"/>
  <c r="AM97" i="33"/>
  <c r="BB6" i="33"/>
  <c r="BB14" i="33"/>
  <c r="BB22" i="33"/>
  <c r="BB30" i="33"/>
  <c r="BB38" i="33"/>
  <c r="BB46" i="33"/>
  <c r="BB54" i="33"/>
  <c r="BB62" i="33"/>
  <c r="BB70" i="33"/>
  <c r="BB78" i="33"/>
  <c r="BB86" i="33"/>
  <c r="BB94" i="33"/>
  <c r="BL56" i="33"/>
  <c r="BB97" i="33"/>
  <c r="AC23" i="33"/>
  <c r="AC11" i="33"/>
  <c r="AC16" i="33"/>
  <c r="AC27" i="33"/>
  <c r="BB5" i="33"/>
  <c r="BB13" i="33"/>
  <c r="BB21" i="33"/>
  <c r="BB29" i="33"/>
  <c r="BB37" i="33"/>
  <c r="BB45" i="33"/>
  <c r="BB53" i="33"/>
  <c r="BB61" i="33"/>
  <c r="BB69" i="33"/>
  <c r="BB77" i="33"/>
  <c r="BB85" i="33"/>
  <c r="BB93" i="33"/>
  <c r="BB98" i="33"/>
  <c r="BL12" i="33"/>
  <c r="BL20" i="33"/>
  <c r="BL60" i="33"/>
  <c r="BL68" i="33"/>
  <c r="BL76" i="33"/>
  <c r="BL84" i="33"/>
  <c r="BL92" i="33"/>
  <c r="BL97" i="33"/>
  <c r="BV6" i="33"/>
  <c r="BV14" i="33"/>
  <c r="BV94" i="33"/>
  <c r="AC19" i="33"/>
  <c r="BV73" i="33"/>
  <c r="BV81" i="33"/>
  <c r="BV89" i="33"/>
  <c r="BV92" i="33"/>
  <c r="AM7" i="33"/>
  <c r="AM15" i="33"/>
  <c r="AM23" i="33"/>
  <c r="AM31" i="33"/>
  <c r="AM39" i="33"/>
  <c r="AM47" i="33"/>
  <c r="AM55" i="33"/>
  <c r="AM63" i="33"/>
  <c r="AM71" i="33"/>
  <c r="AM79" i="33"/>
  <c r="AM87" i="33"/>
  <c r="AM95" i="33"/>
  <c r="BB81" i="33"/>
  <c r="BB89" i="33"/>
  <c r="BL8" i="33"/>
  <c r="BL16" i="33"/>
  <c r="BL24" i="33"/>
  <c r="BL32" i="33"/>
  <c r="BL40" i="33"/>
  <c r="BL48" i="33"/>
  <c r="BL64" i="33"/>
  <c r="BL72" i="33"/>
  <c r="BL80" i="33"/>
  <c r="BL88" i="33"/>
  <c r="BL96" i="33"/>
  <c r="BV10" i="33"/>
  <c r="BV18" i="33"/>
  <c r="BV26" i="33"/>
  <c r="BV34" i="33"/>
  <c r="BV42" i="33"/>
  <c r="BV50" i="33"/>
  <c r="BV58" i="33"/>
  <c r="BV66" i="33"/>
  <c r="BV74" i="33"/>
  <c r="BV82" i="33"/>
  <c r="BV98" i="33"/>
  <c r="AM98" i="33"/>
  <c r="BB12" i="33"/>
  <c r="BB20" i="33"/>
  <c r="BB28" i="33"/>
  <c r="BB36" i="33"/>
  <c r="BB44" i="33"/>
  <c r="BB52" i="33"/>
  <c r="BB60" i="33"/>
  <c r="BB68" i="33"/>
  <c r="BB76" i="33"/>
  <c r="BB84" i="33"/>
  <c r="BB92" i="33"/>
  <c r="BL11" i="33"/>
  <c r="BL19" i="33"/>
  <c r="BL43" i="33"/>
  <c r="BL51" i="33"/>
  <c r="BL59" i="33"/>
  <c r="BL67" i="33"/>
  <c r="BL75" i="33"/>
  <c r="BL83" i="33"/>
  <c r="BL91" i="33"/>
  <c r="BV5" i="33"/>
  <c r="BV13" i="33"/>
  <c r="BV21" i="33"/>
  <c r="BV29" i="33"/>
  <c r="BV37" i="33"/>
  <c r="BV45" i="33"/>
  <c r="BV53" i="33"/>
  <c r="BV61" i="33"/>
  <c r="BV69" i="33"/>
  <c r="BV77" i="33"/>
  <c r="BV93" i="33"/>
  <c r="AM13" i="33"/>
  <c r="AM21" i="33"/>
  <c r="AM29" i="33"/>
  <c r="AM37" i="33"/>
  <c r="AM45" i="33"/>
  <c r="AM53" i="33"/>
  <c r="AM61" i="33"/>
  <c r="AM69" i="33"/>
  <c r="AM77" i="33"/>
  <c r="AM85" i="33"/>
  <c r="AM93" i="33"/>
  <c r="BV24" i="33"/>
  <c r="BV32" i="33"/>
  <c r="BV40" i="33"/>
  <c r="BV48" i="33"/>
  <c r="BV56" i="33"/>
  <c r="BV64" i="33"/>
  <c r="BV72" i="33"/>
  <c r="BV80" i="33"/>
  <c r="BV88" i="33"/>
  <c r="AC7" i="33"/>
  <c r="AC9" i="33"/>
  <c r="AC12" i="33"/>
  <c r="AC17" i="33"/>
  <c r="AM10" i="33"/>
  <c r="AM18" i="33"/>
  <c r="AM26" i="33"/>
  <c r="AM34" i="33"/>
  <c r="AM42" i="33"/>
  <c r="AM50" i="33"/>
  <c r="AM58" i="33"/>
  <c r="AM66" i="33"/>
  <c r="AM74" i="33"/>
  <c r="AM82" i="33"/>
  <c r="AM90" i="33"/>
  <c r="BB9" i="33"/>
  <c r="BB17" i="33"/>
  <c r="BB25" i="33"/>
  <c r="BB33" i="33"/>
  <c r="BB41" i="33"/>
  <c r="BB49" i="33"/>
  <c r="BB57" i="33"/>
  <c r="BB65" i="33"/>
  <c r="BB73" i="33"/>
  <c r="AM5" i="33"/>
  <c r="BL27" i="33"/>
  <c r="BL35" i="33"/>
  <c r="BV85" i="33"/>
  <c r="BV90" i="33"/>
  <c r="AC18" i="33"/>
  <c r="AM56" i="33"/>
  <c r="AM64" i="33"/>
  <c r="AM72" i="33"/>
  <c r="AM80" i="33"/>
  <c r="AM88" i="33"/>
  <c r="AM96" i="33"/>
  <c r="BB7" i="33"/>
  <c r="BB15" i="33"/>
  <c r="BB23" i="33"/>
  <c r="BB31" i="33"/>
  <c r="BB39" i="33"/>
  <c r="BB47" i="33"/>
  <c r="BB55" i="33"/>
  <c r="BB63" i="33"/>
  <c r="BB71" i="33"/>
  <c r="BB79" i="33"/>
  <c r="BB87" i="33"/>
  <c r="BB95" i="33"/>
  <c r="BL6" i="33"/>
  <c r="BL14" i="33"/>
  <c r="BL22" i="33"/>
  <c r="BL30" i="33"/>
  <c r="BL38" i="33"/>
  <c r="BL46" i="33"/>
  <c r="BL54" i="33"/>
  <c r="BL62" i="33"/>
  <c r="BL70" i="33"/>
  <c r="BL78" i="33"/>
  <c r="BL86" i="33"/>
  <c r="BL94" i="33"/>
  <c r="BV8" i="33"/>
  <c r="BV16" i="33"/>
  <c r="AM11" i="33"/>
  <c r="AM19" i="33"/>
  <c r="AM27" i="33"/>
  <c r="AM35" i="33"/>
  <c r="AM43" i="33"/>
  <c r="AM51" i="33"/>
  <c r="AM59" i="33"/>
  <c r="AM67" i="33"/>
  <c r="AM75" i="33"/>
  <c r="AM83" i="33"/>
  <c r="AM91" i="33"/>
  <c r="BB10" i="33"/>
  <c r="BB18" i="33"/>
  <c r="BB26" i="33"/>
  <c r="BB34" i="33"/>
  <c r="BB42" i="33"/>
  <c r="BB50" i="33"/>
  <c r="BB58" i="33"/>
  <c r="BB66" i="33"/>
  <c r="BB74" i="33"/>
  <c r="BB82" i="33"/>
  <c r="BB90" i="33"/>
  <c r="BL9" i="33"/>
  <c r="BL17" i="33"/>
  <c r="BL25" i="33"/>
  <c r="BL33" i="33"/>
  <c r="BL41" i="33"/>
  <c r="BL49" i="33"/>
  <c r="BL57" i="33"/>
  <c r="BL65" i="33"/>
  <c r="BL73" i="33"/>
  <c r="BL81" i="33"/>
  <c r="BL89" i="33"/>
  <c r="BV11" i="33"/>
  <c r="BV19" i="33"/>
  <c r="BV27" i="33"/>
  <c r="BV35" i="33"/>
  <c r="BV43" i="33"/>
  <c r="BV51" i="33"/>
  <c r="BV59" i="33"/>
  <c r="BV67" i="33"/>
  <c r="BV75" i="33"/>
  <c r="BV83" i="33"/>
  <c r="BL28" i="33"/>
  <c r="BL36" i="33"/>
  <c r="BL44" i="33"/>
  <c r="BL52" i="33"/>
  <c r="BV22" i="33"/>
  <c r="BV30" i="33"/>
  <c r="BV38" i="33"/>
  <c r="BV46" i="33"/>
  <c r="BV54" i="33"/>
  <c r="BV62" i="33"/>
  <c r="BV70" i="33"/>
  <c r="BV78" i="33"/>
  <c r="BV86" i="33"/>
  <c r="AM9" i="33"/>
  <c r="AM17" i="33"/>
  <c r="AM25" i="33"/>
  <c r="AM33" i="33"/>
  <c r="AM41" i="33"/>
  <c r="AM49" i="33"/>
  <c r="AM57" i="33"/>
  <c r="AM65" i="33"/>
  <c r="AM73" i="33"/>
  <c r="AM81" i="33"/>
  <c r="AM89" i="33"/>
  <c r="BB8" i="33"/>
  <c r="BB16" i="33"/>
  <c r="BB24" i="33"/>
  <c r="BB32" i="33"/>
  <c r="BB40" i="33"/>
  <c r="BB48" i="33"/>
  <c r="BB56" i="33"/>
  <c r="BB64" i="33"/>
  <c r="BB72" i="33"/>
  <c r="BB80" i="33"/>
  <c r="BB88" i="33"/>
  <c r="BB96" i="33"/>
  <c r="BL7" i="33"/>
  <c r="BL15" i="33"/>
  <c r="BL23" i="33"/>
  <c r="BL31" i="33"/>
  <c r="BL39" i="33"/>
  <c r="BL47" i="33"/>
  <c r="BL55" i="33"/>
  <c r="BL63" i="33"/>
  <c r="BL71" i="33"/>
  <c r="BL79" i="33"/>
  <c r="BL87" i="33"/>
  <c r="BL95" i="33"/>
  <c r="BV9" i="33"/>
  <c r="BV17" i="33"/>
  <c r="AM12" i="33"/>
  <c r="AM20" i="33"/>
  <c r="AM28" i="33"/>
  <c r="AM36" i="33"/>
  <c r="AM44" i="33"/>
  <c r="AM52" i="33"/>
  <c r="AM60" i="33"/>
  <c r="AM68" i="33"/>
  <c r="AM76" i="33"/>
  <c r="AM84" i="33"/>
  <c r="AM92" i="33"/>
  <c r="BB11" i="33"/>
  <c r="BB19" i="33"/>
  <c r="BB27" i="33"/>
  <c r="BB35" i="33"/>
  <c r="BB43" i="33"/>
  <c r="BB51" i="33"/>
  <c r="BB59" i="33"/>
  <c r="BB67" i="33"/>
  <c r="BB75" i="33"/>
  <c r="BB83" i="33"/>
  <c r="BB91" i="33"/>
  <c r="BL10" i="33"/>
  <c r="BL18" i="33"/>
  <c r="BL26" i="33"/>
  <c r="BL34" i="33"/>
  <c r="BL42" i="33"/>
  <c r="BL50" i="33"/>
  <c r="BL58" i="33"/>
  <c r="BL66" i="33"/>
  <c r="BL74" i="33"/>
  <c r="BL82" i="33"/>
  <c r="BL90" i="33"/>
  <c r="BL98" i="33"/>
  <c r="BV12" i="33"/>
  <c r="BV20" i="33"/>
  <c r="BV28" i="33"/>
  <c r="BV36" i="33"/>
  <c r="BV44" i="33"/>
  <c r="BV52" i="33"/>
  <c r="BV60" i="33"/>
  <c r="BV68" i="33"/>
  <c r="BV76" i="33"/>
  <c r="BV84" i="33"/>
  <c r="BV96" i="33"/>
  <c r="BV23" i="33"/>
  <c r="BV31" i="33"/>
  <c r="BV39" i="33"/>
  <c r="BV47" i="33"/>
  <c r="BV55" i="33"/>
  <c r="BV63" i="33"/>
  <c r="BV71" i="33"/>
  <c r="AC15" i="33"/>
  <c r="AC8" i="33"/>
  <c r="AC10" i="33"/>
  <c r="AC13" i="33"/>
  <c r="AC21" i="33"/>
  <c r="AC6" i="33"/>
  <c r="AC97" i="33"/>
  <c r="AC89" i="33"/>
  <c r="AC94" i="33"/>
  <c r="AC5" i="33"/>
  <c r="AZ3" i="33" l="1"/>
  <c r="AY3" i="33"/>
  <c r="AX3" i="33"/>
  <c r="AW3" i="33"/>
  <c r="L3" i="33" l="1"/>
  <c r="H98" i="33"/>
  <c r="J98" i="33" s="1"/>
  <c r="H97" i="33"/>
  <c r="J97" i="33" s="1"/>
  <c r="H96" i="33"/>
  <c r="J96" i="33" s="1"/>
  <c r="H95" i="33"/>
  <c r="J95" i="33" s="1"/>
  <c r="H94" i="33"/>
  <c r="J94" i="33" s="1"/>
  <c r="H93" i="33"/>
  <c r="J93" i="33" s="1"/>
  <c r="H92" i="33"/>
  <c r="J92" i="33" s="1"/>
  <c r="H91" i="33"/>
  <c r="J91" i="33" s="1"/>
  <c r="H90" i="33"/>
  <c r="J90" i="33" s="1"/>
  <c r="H89" i="33"/>
  <c r="J89" i="33" s="1"/>
  <c r="H88" i="33"/>
  <c r="J88" i="33" s="1"/>
  <c r="H87" i="33"/>
  <c r="J87" i="33" s="1"/>
  <c r="H86" i="33"/>
  <c r="J86" i="33" s="1"/>
  <c r="H85" i="33"/>
  <c r="J85" i="33" s="1"/>
  <c r="H84" i="33"/>
  <c r="J84" i="33" s="1"/>
  <c r="H83" i="33"/>
  <c r="J83" i="33" s="1"/>
  <c r="BT3" i="33"/>
  <c r="BS3" i="33"/>
  <c r="BR3" i="33"/>
  <c r="BQ3" i="33"/>
  <c r="AU3" i="33"/>
  <c r="AT3" i="33"/>
  <c r="AS3" i="33"/>
  <c r="AR3" i="33"/>
  <c r="BJ3" i="33"/>
  <c r="BI3" i="33"/>
  <c r="BH3" i="33"/>
  <c r="BG3" i="33"/>
  <c r="AK3" i="33"/>
  <c r="AJ3" i="33"/>
  <c r="AI3" i="33"/>
  <c r="AH3" i="33"/>
  <c r="Z3" i="33"/>
  <c r="AA3" i="33"/>
  <c r="Y3" i="33"/>
  <c r="X3" i="33"/>
  <c r="G3" i="33"/>
  <c r="F3" i="33"/>
  <c r="E3" i="33"/>
  <c r="H6" i="33" l="1"/>
  <c r="J6" i="33" s="1"/>
  <c r="H7" i="33"/>
  <c r="J7" i="33" s="1"/>
  <c r="H8" i="33"/>
  <c r="J8" i="33" s="1"/>
  <c r="H9" i="33"/>
  <c r="J9" i="33" s="1"/>
  <c r="H10" i="33"/>
  <c r="J10" i="33" s="1"/>
  <c r="H11" i="33"/>
  <c r="J11" i="33" s="1"/>
  <c r="H12" i="33"/>
  <c r="J12" i="33" s="1"/>
  <c r="H13" i="33"/>
  <c r="J13" i="33" s="1"/>
  <c r="H14" i="33"/>
  <c r="J14" i="33" s="1"/>
  <c r="H15" i="33"/>
  <c r="J15" i="33" s="1"/>
  <c r="H16" i="33"/>
  <c r="J16" i="33" s="1"/>
  <c r="H17" i="33"/>
  <c r="J17" i="33" s="1"/>
  <c r="H18" i="33"/>
  <c r="J18" i="33" s="1"/>
  <c r="H19" i="33"/>
  <c r="J19" i="33" s="1"/>
  <c r="H20" i="33"/>
  <c r="J20" i="33" s="1"/>
  <c r="H21" i="33"/>
  <c r="J21" i="33" s="1"/>
  <c r="H22" i="33"/>
  <c r="J22" i="33" s="1"/>
  <c r="H23" i="33"/>
  <c r="J23" i="33" s="1"/>
  <c r="H24" i="33"/>
  <c r="J24" i="33" s="1"/>
  <c r="H25" i="33"/>
  <c r="J25" i="33" s="1"/>
  <c r="H26" i="33"/>
  <c r="J26" i="33" s="1"/>
  <c r="H27" i="33"/>
  <c r="J27" i="33" s="1"/>
  <c r="H28" i="33"/>
  <c r="J28" i="33" s="1"/>
  <c r="H29" i="33"/>
  <c r="J29" i="33" s="1"/>
  <c r="H30" i="33"/>
  <c r="J30" i="33" s="1"/>
  <c r="H31" i="33"/>
  <c r="J31" i="33" s="1"/>
  <c r="H32" i="33"/>
  <c r="J32" i="33" s="1"/>
  <c r="H33" i="33"/>
  <c r="J33" i="33" s="1"/>
  <c r="H34" i="33"/>
  <c r="J34" i="33" s="1"/>
  <c r="H35" i="33"/>
  <c r="J35" i="33" s="1"/>
  <c r="H36" i="33"/>
  <c r="J36" i="33" s="1"/>
  <c r="H37" i="33"/>
  <c r="J37" i="33" s="1"/>
  <c r="H38" i="33"/>
  <c r="J38" i="33" s="1"/>
  <c r="H39" i="33"/>
  <c r="J39" i="33" s="1"/>
  <c r="H40" i="33"/>
  <c r="J40" i="33" s="1"/>
  <c r="H41" i="33"/>
  <c r="J41" i="33" s="1"/>
  <c r="H42" i="33"/>
  <c r="J42" i="33" s="1"/>
  <c r="H43" i="33"/>
  <c r="J43" i="33" s="1"/>
  <c r="H44" i="33"/>
  <c r="J44" i="33" s="1"/>
  <c r="H45" i="33"/>
  <c r="J45" i="33" s="1"/>
  <c r="H46" i="33"/>
  <c r="J46" i="33" s="1"/>
  <c r="H47" i="33"/>
  <c r="J47" i="33" s="1"/>
  <c r="H48" i="33"/>
  <c r="J48" i="33" s="1"/>
  <c r="H49" i="33"/>
  <c r="J49" i="33" s="1"/>
  <c r="H50" i="33"/>
  <c r="J50" i="33" s="1"/>
  <c r="H51" i="33"/>
  <c r="J51" i="33" s="1"/>
  <c r="H52" i="33"/>
  <c r="J52" i="33" s="1"/>
  <c r="H53" i="33"/>
  <c r="J53" i="33" s="1"/>
  <c r="H54" i="33"/>
  <c r="J54" i="33" s="1"/>
  <c r="H55" i="33"/>
  <c r="J55" i="33" s="1"/>
  <c r="H56" i="33"/>
  <c r="J56" i="33" s="1"/>
  <c r="H57" i="33"/>
  <c r="J57" i="33" s="1"/>
  <c r="H58" i="33"/>
  <c r="J58" i="33" s="1"/>
  <c r="H59" i="33"/>
  <c r="J59" i="33" s="1"/>
  <c r="H60" i="33"/>
  <c r="J60" i="33" s="1"/>
  <c r="H61" i="33"/>
  <c r="J61" i="33" s="1"/>
  <c r="H62" i="33"/>
  <c r="J62" i="33" s="1"/>
  <c r="H63" i="33"/>
  <c r="J63" i="33" s="1"/>
  <c r="H64" i="33"/>
  <c r="J64" i="33" s="1"/>
  <c r="H65" i="33"/>
  <c r="J65" i="33" s="1"/>
  <c r="H66" i="33"/>
  <c r="J66" i="33" s="1"/>
  <c r="H67" i="33"/>
  <c r="J67" i="33" s="1"/>
  <c r="H68" i="33"/>
  <c r="J68" i="33" s="1"/>
  <c r="H69" i="33"/>
  <c r="J69" i="33" s="1"/>
  <c r="H70" i="33"/>
  <c r="J70" i="33" s="1"/>
  <c r="H71" i="33"/>
  <c r="J71" i="33" s="1"/>
  <c r="H72" i="33"/>
  <c r="J72" i="33" s="1"/>
  <c r="H73" i="33"/>
  <c r="J73" i="33" s="1"/>
  <c r="H74" i="33"/>
  <c r="J74" i="33" s="1"/>
  <c r="H75" i="33"/>
  <c r="J75" i="33" s="1"/>
  <c r="H76" i="33"/>
  <c r="J76" i="33" s="1"/>
  <c r="H77" i="33"/>
  <c r="J77" i="33" s="1"/>
  <c r="H78" i="33"/>
  <c r="J78" i="33" s="1"/>
  <c r="H79" i="33"/>
  <c r="J79" i="33" s="1"/>
  <c r="H80" i="33"/>
  <c r="J80" i="33" s="1"/>
  <c r="H81" i="33"/>
  <c r="J81" i="33" s="1"/>
  <c r="H82" i="33"/>
  <c r="J82" i="33" s="1"/>
  <c r="H5" i="33"/>
  <c r="J5" i="33" s="1"/>
  <c r="H3" i="33"/>
  <c r="J2" i="33" l="1"/>
  <c r="Q4" i="4" l="1"/>
  <c r="Q5" i="4"/>
  <c r="Q6" i="4"/>
  <c r="Q7" i="4"/>
  <c r="Q8" i="4"/>
  <c r="Q9" i="4"/>
  <c r="Q10" i="4"/>
  <c r="Q11" i="4"/>
  <c r="Q12" i="4"/>
  <c r="Q13" i="4"/>
  <c r="Q14" i="4"/>
  <c r="Q15" i="4"/>
  <c r="Q16" i="4"/>
  <c r="Q17" i="4"/>
  <c r="Q18" i="4"/>
  <c r="M4" i="4"/>
  <c r="M5" i="4"/>
  <c r="M6" i="4"/>
  <c r="M7" i="4"/>
  <c r="M8" i="4"/>
  <c r="M9" i="4"/>
  <c r="M10" i="4"/>
  <c r="M11" i="4"/>
  <c r="M12" i="4"/>
  <c r="M13" i="4"/>
  <c r="M14" i="4"/>
  <c r="M15" i="4"/>
  <c r="M16" i="4"/>
  <c r="M17" i="4"/>
  <c r="M18" i="4"/>
  <c r="P4" i="4"/>
  <c r="P5" i="4"/>
  <c r="P6" i="4"/>
  <c r="P7" i="4"/>
  <c r="P8" i="4"/>
  <c r="P9" i="4"/>
  <c r="P10" i="4"/>
  <c r="P11" i="4"/>
  <c r="P12" i="4"/>
  <c r="P13" i="4"/>
  <c r="P14" i="4"/>
  <c r="P15" i="4"/>
  <c r="P16" i="4"/>
  <c r="P17" i="4"/>
  <c r="P18" i="4"/>
  <c r="J4" i="4"/>
  <c r="K4" i="4"/>
  <c r="J5" i="4"/>
  <c r="K5" i="4"/>
  <c r="J6" i="4"/>
  <c r="K6" i="4"/>
  <c r="J7" i="4"/>
  <c r="K7" i="4"/>
  <c r="J8" i="4"/>
  <c r="K8" i="4"/>
  <c r="J9" i="4"/>
  <c r="K9" i="4"/>
  <c r="J10" i="4"/>
  <c r="K10" i="4"/>
  <c r="J11" i="4"/>
  <c r="K11" i="4"/>
  <c r="J12" i="4"/>
  <c r="K12" i="4"/>
  <c r="J13" i="4"/>
  <c r="K13" i="4"/>
  <c r="J14" i="4"/>
  <c r="K14" i="4"/>
  <c r="J15" i="4"/>
  <c r="K15" i="4"/>
  <c r="J16" i="4"/>
  <c r="K16" i="4"/>
  <c r="J17" i="4"/>
  <c r="K17" i="4"/>
  <c r="J18" i="4"/>
  <c r="K18" i="4"/>
  <c r="N5" i="4"/>
  <c r="O5" i="4"/>
  <c r="N6" i="4"/>
  <c r="O6" i="4"/>
  <c r="N7" i="4"/>
  <c r="O7" i="4"/>
  <c r="N8" i="4"/>
  <c r="O8" i="4"/>
  <c r="N9" i="4"/>
  <c r="O9" i="4"/>
  <c r="N10" i="4"/>
  <c r="O10" i="4"/>
  <c r="N11" i="4"/>
  <c r="O11" i="4"/>
  <c r="N12" i="4"/>
  <c r="O12" i="4"/>
  <c r="N13" i="4"/>
  <c r="O13" i="4"/>
  <c r="N14" i="4"/>
  <c r="O14" i="4"/>
  <c r="N15" i="4"/>
  <c r="O15" i="4"/>
  <c r="N16" i="4"/>
  <c r="O16" i="4"/>
  <c r="N17" i="4"/>
  <c r="O17" i="4"/>
  <c r="N18" i="4"/>
  <c r="O18" i="4"/>
  <c r="O4" i="4"/>
  <c r="N4" i="4"/>
  <c r="I18" i="4"/>
  <c r="H18" i="4"/>
  <c r="I17" i="4"/>
  <c r="H17" i="4"/>
  <c r="I16" i="4"/>
  <c r="H16" i="4"/>
  <c r="I15" i="4"/>
  <c r="H15" i="4"/>
  <c r="I14" i="4"/>
  <c r="H14" i="4"/>
  <c r="I13" i="4"/>
  <c r="H13" i="4"/>
  <c r="I12" i="4"/>
  <c r="H12" i="4"/>
  <c r="I11" i="4"/>
  <c r="H11" i="4"/>
  <c r="I10" i="4"/>
  <c r="H10" i="4"/>
  <c r="I9" i="4"/>
  <c r="H9" i="4"/>
  <c r="I8" i="4"/>
  <c r="H8" i="4"/>
  <c r="I7" i="4"/>
  <c r="H7" i="4"/>
  <c r="I6" i="4"/>
  <c r="H6" i="4"/>
  <c r="I5" i="4"/>
  <c r="H5" i="4"/>
  <c r="I4" i="4"/>
  <c r="H4" i="4"/>
  <c r="G18" i="4"/>
  <c r="G17" i="4"/>
  <c r="G16" i="4"/>
  <c r="G15" i="4"/>
  <c r="G14" i="4"/>
  <c r="G13" i="4"/>
  <c r="G12" i="4"/>
  <c r="G11" i="4"/>
  <c r="G10" i="4"/>
  <c r="G9" i="4"/>
  <c r="G8" i="4"/>
  <c r="G7" i="4"/>
  <c r="G6" i="4"/>
  <c r="G5" i="4"/>
  <c r="G4" i="4"/>
  <c r="S3" i="4"/>
  <c r="R9" i="4" l="1"/>
  <c r="R12" i="4"/>
  <c r="R4" i="4"/>
  <c r="R11" i="4"/>
  <c r="R18" i="4"/>
  <c r="R10" i="4"/>
  <c r="R17" i="4"/>
  <c r="R16" i="4"/>
  <c r="R8" i="4"/>
  <c r="R15" i="4"/>
  <c r="R7" i="4"/>
  <c r="R14" i="4"/>
  <c r="R6" i="4"/>
  <c r="R13" i="4"/>
  <c r="R5" i="4"/>
  <c r="M3" i="4"/>
  <c r="L13" i="4"/>
  <c r="L7" i="4"/>
  <c r="L11" i="4"/>
  <c r="L15" i="4"/>
  <c r="L9" i="4"/>
  <c r="L17" i="4"/>
  <c r="L5" i="4"/>
  <c r="L12" i="4"/>
  <c r="L4" i="4"/>
  <c r="L6" i="4"/>
  <c r="L14" i="4"/>
  <c r="L8" i="4"/>
  <c r="L16" i="4"/>
  <c r="L10" i="4"/>
  <c r="L18" i="4"/>
  <c r="Q3" i="4"/>
  <c r="J3" i="4"/>
  <c r="K3" i="4"/>
  <c r="P3" i="4"/>
  <c r="O3" i="4"/>
  <c r="N3" i="4"/>
  <c r="I3" i="4"/>
  <c r="H3" i="4"/>
  <c r="R3" i="4" l="1"/>
  <c r="L3" i="4"/>
  <c r="I39" i="13" l="1"/>
  <c r="H39" i="13"/>
  <c r="O39" i="13" s="1"/>
  <c r="G39" i="13"/>
  <c r="I38" i="13"/>
  <c r="H38" i="13"/>
  <c r="G38" i="13"/>
  <c r="I37" i="13"/>
  <c r="H37" i="13"/>
  <c r="O37" i="13" s="1"/>
  <c r="G37" i="13"/>
  <c r="I36" i="13"/>
  <c r="H36" i="13"/>
  <c r="G36" i="13"/>
  <c r="I35" i="13"/>
  <c r="H35" i="13"/>
  <c r="O35" i="13" s="1"/>
  <c r="G35" i="13"/>
  <c r="I34" i="13"/>
  <c r="H34" i="13"/>
  <c r="G34" i="13"/>
  <c r="I33" i="13"/>
  <c r="H33" i="13"/>
  <c r="O33" i="13" s="1"/>
  <c r="G33" i="13"/>
  <c r="I32" i="13"/>
  <c r="H32" i="13"/>
  <c r="G32" i="13"/>
  <c r="I31" i="13"/>
  <c r="H31" i="13"/>
  <c r="O31" i="13" s="1"/>
  <c r="G31" i="13"/>
  <c r="I30" i="13"/>
  <c r="H30" i="13"/>
  <c r="G30" i="13"/>
  <c r="I29" i="13"/>
  <c r="H29" i="13"/>
  <c r="O29" i="13" s="1"/>
  <c r="G29" i="13"/>
  <c r="I28" i="13"/>
  <c r="H28" i="13"/>
  <c r="G28" i="13"/>
  <c r="I27" i="13"/>
  <c r="H27" i="13"/>
  <c r="O27" i="13" s="1"/>
  <c r="G27" i="13"/>
  <c r="I26" i="13"/>
  <c r="H26" i="13"/>
  <c r="G26" i="13"/>
  <c r="I25" i="13"/>
  <c r="H25" i="13"/>
  <c r="O25" i="13" s="1"/>
  <c r="G25" i="13"/>
  <c r="I24" i="13"/>
  <c r="H24" i="13"/>
  <c r="G24" i="13"/>
  <c r="I23" i="13"/>
  <c r="H23" i="13"/>
  <c r="O23" i="13" s="1"/>
  <c r="G23" i="13"/>
  <c r="I22" i="13"/>
  <c r="H22" i="13"/>
  <c r="G22" i="13"/>
  <c r="I21" i="13"/>
  <c r="H21" i="13"/>
  <c r="O21" i="13" s="1"/>
  <c r="G21" i="13"/>
  <c r="I20" i="13"/>
  <c r="H20" i="13"/>
  <c r="G20" i="13"/>
  <c r="I19" i="13"/>
  <c r="H19" i="13"/>
  <c r="O19" i="13" s="1"/>
  <c r="G19" i="13"/>
  <c r="I18" i="13"/>
  <c r="G18" i="13"/>
  <c r="I17" i="13"/>
  <c r="G17" i="13"/>
  <c r="I16" i="13"/>
  <c r="G16" i="13"/>
  <c r="I15" i="13"/>
  <c r="G15" i="13"/>
  <c r="I14" i="13"/>
  <c r="G14" i="13"/>
  <c r="I13" i="13"/>
  <c r="G13" i="13"/>
  <c r="I12" i="13"/>
  <c r="G12" i="13"/>
  <c r="I11" i="13"/>
  <c r="G11" i="13"/>
  <c r="I10" i="13"/>
  <c r="G10" i="13"/>
  <c r="I9" i="13"/>
  <c r="G9" i="13"/>
  <c r="I8" i="13"/>
  <c r="G8" i="13"/>
  <c r="I7" i="13"/>
  <c r="G7" i="13"/>
  <c r="I6" i="13"/>
  <c r="G6" i="13"/>
  <c r="I5" i="13"/>
  <c r="G5" i="13"/>
  <c r="I4" i="13"/>
  <c r="G4" i="13"/>
  <c r="N4" i="13" s="1"/>
  <c r="N3" i="13" s="1"/>
  <c r="M3" i="13"/>
  <c r="L3" i="13"/>
  <c r="K3" i="13"/>
  <c r="J3" i="13"/>
  <c r="I3" i="13"/>
  <c r="G3" i="13"/>
  <c r="F3" i="13"/>
  <c r="E3" i="13"/>
  <c r="D3" i="13"/>
  <c r="O28" i="13" l="1"/>
  <c r="O24" i="13"/>
  <c r="O32" i="13"/>
  <c r="O22" i="13"/>
  <c r="O38" i="13"/>
  <c r="O34" i="13"/>
  <c r="O20" i="13"/>
  <c r="O36" i="13"/>
  <c r="O30" i="13"/>
  <c r="O26" i="13"/>
  <c r="V3" i="4" l="1"/>
  <c r="U3" i="4"/>
  <c r="T3" i="4"/>
  <c r="E3" i="4"/>
  <c r="D3" i="4"/>
  <c r="C3" i="4"/>
  <c r="F18" i="4"/>
  <c r="F17" i="4"/>
  <c r="F16" i="4"/>
  <c r="F15" i="4"/>
  <c r="F14" i="4"/>
  <c r="F13" i="4"/>
  <c r="F12" i="4"/>
  <c r="F11" i="4"/>
  <c r="F10" i="4"/>
  <c r="F9" i="4"/>
  <c r="F8" i="4"/>
  <c r="F7" i="4"/>
  <c r="F6" i="4"/>
  <c r="F5" i="4"/>
  <c r="F4" i="4"/>
  <c r="W4" i="4" l="1"/>
  <c r="W3" i="4" s="1"/>
  <c r="F3" i="4"/>
  <c r="X8" i="4" l="1"/>
  <c r="H8" i="13"/>
  <c r="O8" i="13" s="1"/>
  <c r="X17" i="4"/>
  <c r="H17" i="13"/>
  <c r="O17" i="13" s="1"/>
  <c r="X7" i="4"/>
  <c r="H7" i="13"/>
  <c r="O7" i="13" s="1"/>
  <c r="X18" i="4"/>
  <c r="H18" i="13"/>
  <c r="O18" i="13" s="1"/>
  <c r="H4" i="13"/>
  <c r="X13" i="4"/>
  <c r="H13" i="13"/>
  <c r="O13" i="13" s="1"/>
  <c r="X11" i="4"/>
  <c r="H11" i="13"/>
  <c r="O11" i="13" s="1"/>
  <c r="X6" i="4"/>
  <c r="H6" i="13"/>
  <c r="O6" i="13" s="1"/>
  <c r="X10" i="4"/>
  <c r="H10" i="13"/>
  <c r="O10" i="13" s="1"/>
  <c r="X5" i="4"/>
  <c r="H5" i="13"/>
  <c r="O5" i="13" s="1"/>
  <c r="X16" i="4"/>
  <c r="H16" i="13"/>
  <c r="O16" i="13" s="1"/>
  <c r="X9" i="4"/>
  <c r="H9" i="13"/>
  <c r="O9" i="13" s="1"/>
  <c r="X12" i="4"/>
  <c r="H12" i="13"/>
  <c r="O12" i="13" s="1"/>
  <c r="X15" i="4"/>
  <c r="H15" i="13"/>
  <c r="O15" i="13" s="1"/>
  <c r="X14" i="4"/>
  <c r="H14" i="13"/>
  <c r="O14" i="13" s="1"/>
  <c r="G3" i="4" l="1"/>
  <c r="O4" i="13"/>
  <c r="H3" i="13"/>
  <c r="X4" i="4"/>
</calcChain>
</file>

<file path=xl/comments1.xml><?xml version="1.0" encoding="utf-8"?>
<comments xmlns="http://schemas.openxmlformats.org/spreadsheetml/2006/main">
  <authors>
    <author>tc={83E11F6B-ED3A-493C-A1D8-3E5589F90DFE}</author>
    <author>tc={4A66047B-EC6D-47FA-A676-1943360AF44D}</author>
  </authors>
  <commentList>
    <comment ref="E432" author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@Jennifer Ehlers Can you confirm that the stem and scenario are describing the situation correctly? Wouldn’t someone with an injured leg favor the *unaffected* leg?
Reply:
    @Daniel Alt No, to favor a leg means to treat it gently or use it less than the other leg because it's injured. It doesn't mean you prioritize using the leg. But I can change the wording if you think it will cause confusion.
Reply:
    Nope. I’m good. A customer complained about the usage, but I’ll disregard.</t>
        </r>
      </text>
    </comment>
    <comment ref="E470" authorId="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@Jennifer Ehlers Sorry for the last minute replacement of the stem and Rationale. I had left myself a note that those sections were better in an effective duplicate from the print title, but until now I had forgotten to make the swap. Can you please review/edit accordingly?</t>
        </r>
      </text>
    </comment>
  </commentList>
</comments>
</file>

<file path=xl/sharedStrings.xml><?xml version="1.0" encoding="utf-8"?>
<sst xmlns="http://schemas.openxmlformats.org/spreadsheetml/2006/main" count="7314" uniqueCount="3692">
  <si>
    <t>Domain</t>
  </si>
  <si>
    <t>Subdomain</t>
  </si>
  <si>
    <t>Recall Items (Planned)</t>
  </si>
  <si>
    <t>Application Items (Planned)</t>
  </si>
  <si>
    <t>Analysis Items (Planned)</t>
  </si>
  <si>
    <t>Total (Planned)</t>
  </si>
  <si>
    <t>Submitted
(from Items tab)</t>
  </si>
  <si>
    <t>Assigned total
(See Writer entries to the right)</t>
  </si>
  <si>
    <t>Writer1</t>
  </si>
  <si>
    <t>Writer2</t>
  </si>
  <si>
    <t>Writer3</t>
  </si>
  <si>
    <t>Writer4</t>
  </si>
  <si>
    <t>Uncommitted</t>
  </si>
  <si>
    <t>Deviation from plan</t>
  </si>
  <si>
    <t>Domain1</t>
  </si>
  <si>
    <t>Subdomain1_1</t>
  </si>
  <si>
    <t>Subdomain2_1</t>
  </si>
  <si>
    <t>Subdomain3_1</t>
  </si>
  <si>
    <t>Subdomain4_1</t>
  </si>
  <si>
    <t>Subdomain5_1</t>
  </si>
  <si>
    <t>Subdomain6_1</t>
  </si>
  <si>
    <t>Domain2</t>
  </si>
  <si>
    <t>Subdomain1_2</t>
  </si>
  <si>
    <t>Subdomain2_2</t>
  </si>
  <si>
    <t>Subdomain3_2</t>
  </si>
  <si>
    <t>Subdomain4_2</t>
  </si>
  <si>
    <t>Subdomain5_2</t>
  </si>
  <si>
    <t>Subdomain6_2</t>
  </si>
  <si>
    <t>Domain3</t>
  </si>
  <si>
    <t>Subdomain1_3</t>
  </si>
  <si>
    <t>Subdomain2_3</t>
  </si>
  <si>
    <t>Subdomain3_3</t>
  </si>
  <si>
    <t>Subdomain4_3</t>
  </si>
  <si>
    <t>Subdomain5_3</t>
  </si>
  <si>
    <t>Subdomain6_3</t>
  </si>
  <si>
    <t>Domain4</t>
  </si>
  <si>
    <t>Subdomain1_4</t>
  </si>
  <si>
    <t>Subdomain2_4</t>
  </si>
  <si>
    <t>Subdomain3_4</t>
  </si>
  <si>
    <t>Subdomain4_4</t>
  </si>
  <si>
    <t>Subdomain5_4</t>
  </si>
  <si>
    <t>Subdomain6_4</t>
  </si>
  <si>
    <t>Domain5</t>
  </si>
  <si>
    <t>Subdomain1_5</t>
  </si>
  <si>
    <t>Subdomain2_5</t>
  </si>
  <si>
    <t>Subdomain3_5</t>
  </si>
  <si>
    <t>Subdomain4_5</t>
  </si>
  <si>
    <t>Subdomain5_5</t>
  </si>
  <si>
    <t>Subdomain6_5</t>
  </si>
  <si>
    <t>Domain6</t>
  </si>
  <si>
    <t>Subdomain1_6</t>
  </si>
  <si>
    <t>Subdomain2_6</t>
  </si>
  <si>
    <t>Subdomain3_6</t>
  </si>
  <si>
    <t>Subdomain4_6</t>
  </si>
  <si>
    <t>Subdomain5_6</t>
  </si>
  <si>
    <t>Subdomain6_6</t>
  </si>
  <si>
    <t>Reviewer</t>
  </si>
  <si>
    <t>Stem</t>
  </si>
  <si>
    <t>Correct Answer</t>
  </si>
  <si>
    <t>Correct Option</t>
  </si>
  <si>
    <t>Rationale</t>
  </si>
  <si>
    <t>CPN Domain</t>
  </si>
  <si>
    <t>SPC Topic</t>
  </si>
  <si>
    <t>Cognitive Level</t>
  </si>
  <si>
    <t>Stage</t>
  </si>
  <si>
    <t>Submersion duration</t>
  </si>
  <si>
    <t>Temperature of the water</t>
  </si>
  <si>
    <t>Type of water</t>
  </si>
  <si>
    <t>Length of resuscitation</t>
  </si>
  <si>
    <t>A</t>
  </si>
  <si>
    <t>The strongest outcome predictor for submersion injuries is submersion duration. Durations of fewer than 5 minutes are associated with more favorable outcomes. The worst outcomes occur when submersion duration is longer than 25 minutes. Submersion in colder, fresh water is correlated with better outcomes, but these factors are not the strongest predictors of outcome. Length of resuscitation is not a predictor of outcome in submersion injuries.</t>
  </si>
  <si>
    <t>X</t>
  </si>
  <si>
    <t>Health_Promotion</t>
  </si>
  <si>
    <t>Practice</t>
  </si>
  <si>
    <t>Recall</t>
  </si>
  <si>
    <t>Edited - awaiting tagging</t>
  </si>
  <si>
    <t>CPM</t>
  </si>
  <si>
    <t>A child from a divorced family discloses that they have not gone to school in 4 weeks because their father does not take them. The nurse's BEST action is to:</t>
  </si>
  <si>
    <t>Advise the child to suggest home schooling to the father</t>
  </si>
  <si>
    <t>Notify a case manager so transportation to school can be arranged</t>
  </si>
  <si>
    <t>Notify child protective services</t>
  </si>
  <si>
    <t>Inform the child's mother about the situation</t>
  </si>
  <si>
    <t>C</t>
  </si>
  <si>
    <t>The child needs to be provided with basic education, and failing to do so is a form of neglect. The nurse should alert child protective services to investigate the child’s home life. Child protective services may assign a case manager, who will ensure that the father has the means to take the child to school or will provide guidance and direction if home schooling is an option for the father. In addition, child protective services would be responsible for notifying the child's mother about the situation.</t>
  </si>
  <si>
    <t>Professional_Responsibilities</t>
  </si>
  <si>
    <t>Neglect</t>
  </si>
  <si>
    <t>Application</t>
  </si>
  <si>
    <t>Hyperthyroidism</t>
  </si>
  <si>
    <t>Retired</t>
  </si>
  <si>
    <t>Which of the following should be heard when auscultating the chest of a patient with a Norwood repair?</t>
  </si>
  <si>
    <t>Shunt murmur</t>
  </si>
  <si>
    <t>No murmur</t>
  </si>
  <si>
    <t>Shunt clicks</t>
  </si>
  <si>
    <t>No clicks</t>
  </si>
  <si>
    <t xml:space="preserve">During a Norwood repair, a round tube or shunt routes blood either from the aorta or directly from the right ventricle to the pulmonary artery. Blood flowing through this repair will result in a murmur in the left upper chest, not a click, which is usually associated with valves. A murmur indicates that the shunt is patent. No murmur indicates that the Norwood repair is not functioning. </t>
  </si>
  <si>
    <t>Assessment</t>
  </si>
  <si>
    <t>Which of the following is the MOST appropriate technique for assessing the tympanic membrane in a 3-year-old patient?</t>
  </si>
  <si>
    <t>Pull the pinnae of the ear upward and forward</t>
  </si>
  <si>
    <t>Pull the pinnae of the ear upward and backward</t>
  </si>
  <si>
    <t>Pull the pinnae of the ear downward and forward</t>
  </si>
  <si>
    <t>Pull the pinnae of the ear downward and backward</t>
  </si>
  <si>
    <t>B</t>
  </si>
  <si>
    <t>Ear canals of patients who are 3 years or older curve downward and forward, and the drum slopes inward and forward. To visualize the tympanic membrane via an otoscope, the pinnae of the ear must be pulled upward and backward. Ear canals of infants curve upward, and the tympanic membrane is horizontal along the upper wall of the canal. Therefore, the pinnae of the ear must be pulled downward and backward to visualize the tympanic membrane. Pulling the pinnae upward and forward or downward and forward will not help visualize the membrane.</t>
  </si>
  <si>
    <t>The nurse is stroking the corner of a 2-month-old patient’s mouth. Which reflex is the nurse trying to elicit?</t>
  </si>
  <si>
    <t>Moro</t>
  </si>
  <si>
    <t>Sucking</t>
  </si>
  <si>
    <t>Rooting</t>
  </si>
  <si>
    <t>Tonic neck</t>
  </si>
  <si>
    <t>Stroking the corner of the mouth will elicit the rooting reflex. The infant will move their head toward stimulation if the reflex is present. The sucking reflex is elicited by touching the infant’s lips with a finger. The Moro reflex is eliciting by making a loud noise or bracing the patient’s head and back while simulating falling. The infant will extend and flex the arms and fingers. To elicit the tonic neck reflex, the infant's head is turned to one side, and the upper and lower extremities on that side will extend while the opposite extremities flex.</t>
  </si>
  <si>
    <t>What structure is being assessed when the nurse pushes the tip of the patient's nose upward and asks them to tilt their head back?</t>
  </si>
  <si>
    <t>Pinna</t>
  </si>
  <si>
    <t>Choroid</t>
  </si>
  <si>
    <t>Frenulum</t>
  </si>
  <si>
    <t>Anterior vestibule</t>
  </si>
  <si>
    <t>D</t>
  </si>
  <si>
    <t>The nurse can inspect the anterior vestibule of the nose by pushing the tip upward, tilting the head backward, and shining a light into the cavity. The tongue is attached to the floor of the mouth by a fold called the frenulum. The pinna, or auricle, is the exterior part of the ear. The choroid is a tissue layer that lies between the retina and the sclera.</t>
  </si>
  <si>
    <t>A parent presents to the clinic with their infant son, who has trisomy 21 and poor oral intake. The nurse asks the parent how they feed the child. The parent responds, “I give him the bottle, but he hardly holds it, and the milk just goes everywhere.” The nurse's BEST next action is to:</t>
  </si>
  <si>
    <t>Perform a feeding task analysis</t>
  </si>
  <si>
    <t>Conduct a swallow study</t>
  </si>
  <si>
    <t xml:space="preserve">Place a nasogastric tube </t>
  </si>
  <si>
    <t xml:space="preserve">Ask the provider to evaluate the child for placement of a gastric tube </t>
  </si>
  <si>
    <t>The nurse should perform a feeding task analysis, which will help to identify which element of feeding is causing the most issues. Children with trisomy 21 (Down syndrome) may struggle with eating due to laxity in muscles, floppy head, and tongue protrusion that pushes food out. It is not appropriate to immediately place a nasogastric tube prior to assessing the child and his ability to feed orally. Once the study is complete, the nurse can ask the provider to evaluate the child for placement of a gastric tube. A swallow study can also be conducted after a feeding task analysis to ensure the child is not aspirating food.</t>
  </si>
  <si>
    <t>Analysis</t>
  </si>
  <si>
    <t>The nurse is assessing a male child who has a long face with a prominent jaw and large ears. The child is rocking back and forth during the assessment. The nurse recognizes these characteristics as features of:</t>
  </si>
  <si>
    <t>Down syndrome</t>
  </si>
  <si>
    <t>Fragile X syndrome</t>
  </si>
  <si>
    <t>Turner syndrome</t>
  </si>
  <si>
    <t>Trisomy 18</t>
  </si>
  <si>
    <t>Classic characteristics of fragile X syndrome include a long face; prominent jaw; large, protruding ears; and autism-like behaviors such as rocking or fidgeting. Down syndrome presents with a flattened nasal bridge, almond-shaped eyes, short neck, and small ears. Only female patients are affected by Turner syndrome. They present with a web-like neck, a broad chest, and a high/narrow roof of the mouth. Children with trisomy 18 have small, abnormally shaped heads; small jaws; and clenched fists with overlapping fingers.</t>
  </si>
  <si>
    <t>The nurse is assessing a 6-month-old patient who was brought to the ED with a low-grade fever, poor feeding, and restlessness. The infant has increased respiratory secretions, and the parents are concerned that the infant is having trouble breathing. Which monitoring intervention will the nurse PRIORITIZE until the patient is transferred to the pediatric ICU?</t>
  </si>
  <si>
    <t>Pediatric Glasgow Coma Scale</t>
  </si>
  <si>
    <t>Intake and output</t>
  </si>
  <si>
    <t>Cardiac rate and rhythm</t>
  </si>
  <si>
    <t>Frequent vital signs</t>
  </si>
  <si>
    <t>The nurse will prioritize monitoring the infant’s level of consciousness using the pediatric Glasgow Coma Scale. If the patient becomes increasingly lethargic and less responsive, the nurse will take further action to assess the patient’s respiratory status and address any need for additional intervention. The nurse will also continue to assess the patient’s hemodynamic status by evaluating intake and output, monitoring cardiac rate and rhythm, and collecting frequent vital signs.</t>
  </si>
  <si>
    <t>While assessing a neonate, the nurse notes small, yellow-white, epithelial cysts along the roof of the infant’s mouth. The nurse recognizes these cysts as:</t>
  </si>
  <si>
    <t>Abscesses</t>
  </si>
  <si>
    <t>Epstein pearls</t>
  </si>
  <si>
    <t xml:space="preserve">Herpes simplex </t>
  </si>
  <si>
    <t>Koplik spots</t>
  </si>
  <si>
    <t>Epstein pearls are whitish-yellow cysts that form on the gums and roof of the mouth in newborns. The cysts contain keratin, a protein that occurs naturally in human skin, hair, and nails. Epstein pearls are a normal finding and resolve within a few weeks of birth. Abscesses form from infected wounds and contain a mixture of white blood cells and pus. Herpes simplex type 1 is a viral infection that presents with external sores and blisters on the mouth. Koplik spots, tiny white spots in the mouth, are a prodromal manifestation of the measles infection.</t>
  </si>
  <si>
    <t>Subarachnoid hemorrhage</t>
  </si>
  <si>
    <t>First submission</t>
  </si>
  <si>
    <t>Which of the following are common clinical manifestations of HIV infection in children?</t>
  </si>
  <si>
    <t>Recurrent diarrhea, failure to thrive, developmental delay, and petechiae</t>
  </si>
  <si>
    <t>Oral candidiasis, recurrent diarrhea, petechiae, and epistaxis</t>
  </si>
  <si>
    <t>Failure to thrive, developmental delay, petechiae, and epistaxis</t>
  </si>
  <si>
    <t>Oral candidiasis, chronic diarrhea, failure to thrive, and developmental delay</t>
  </si>
  <si>
    <t>Common clinical manifestations of HIV are lymphadenopathy, hepatosplenomegaly, oral candidiasis, chronic or recurrent diarrhea, failure to thrive, developmental delay, and parotitis. Petechiae and epistaxis are common clinical manifestations of immune thrombocytopenia.</t>
  </si>
  <si>
    <t>An infant admitted for shaken baby syndrome has poor capillary refill, tachypnea, and falling blood pressure. The nurse should recognize the patient is MOST likely experiencing which type of shock?</t>
  </si>
  <si>
    <t>Hypovolemic</t>
  </si>
  <si>
    <t>Distributive</t>
  </si>
  <si>
    <t>Cardiogenic</t>
  </si>
  <si>
    <t>Irreversible</t>
  </si>
  <si>
    <t>Shaken baby syndrome can cause bleeding into the brain, resulting in hypovolemic shock. Distributive shock occurs when there is an abnormal distribution of blood flow in the smallest blood vessels, resulting in inadequate supply of blood to the body’s tissues and organs. Cardiogenic shock is a medical emergency caused by inadequate blood flow due to the dysfunction of the ventricles of the heart. Injuries to the chest, abdomen, or pelvis, where hemorrhage can be difficult to detect and control, usually cause irreversible shock, which is often a fatal condition.</t>
  </si>
  <si>
    <t>Which of the following conditions are associated with a risk for a latex allergy?</t>
  </si>
  <si>
    <t xml:space="preserve">Imperforate anus, spina bifida, and prematurity </t>
  </si>
  <si>
    <t>Imperforate anus, prematurity, and Meckel diverticulum</t>
  </si>
  <si>
    <t>Imperforate anus, spina bifida, and Meckel diverticulum</t>
  </si>
  <si>
    <t>Spinal bifida, prematurity, and Meckel diverticulum</t>
  </si>
  <si>
    <t xml:space="preserve">Medical conditions associated with risk for latex allergy are spina bifida, urogenital anomalies, imperforate anus, tracheoesophageal fistula, VATER association (a group of birth defects that present together), prematurity, ventriculoperitoneal shunt, congenital impairment, cerebral palsy, spinal cord injuries, multiple surgeries, and atopy. Meckel diverticulum is a remnant of the fetal omphalomesenteric duct, which connects the yolk sac with the primitive midgut during fetal life. It is not associated with latex allergy. </t>
  </si>
  <si>
    <t>Which of the following are common clinical manifestations of a cow’s milk allergy?</t>
  </si>
  <si>
    <t>Sneezing, pallor, fussiness, and bradycardia</t>
  </si>
  <si>
    <t>Atopic dermatitis, pallor, fussiness, and dysrhythmia</t>
  </si>
  <si>
    <t>Sneezing, atopic dermatitis, pallor, and fussiness</t>
  </si>
  <si>
    <t>Atopic dermatitis, fussiness, bradycardia, and sneezing</t>
  </si>
  <si>
    <t xml:space="preserve">Cow’s milk allergy commonly manifests as sneezing, atopic dermatitis, pallor, and fussiness. While bradycardia and dysrhythmia are common indications of a severe allergy attack, they are not commonly found with a cow’s milk allergy. </t>
  </si>
  <si>
    <t>Egg</t>
  </si>
  <si>
    <t>Neomycin</t>
  </si>
  <si>
    <t>Shellfish</t>
  </si>
  <si>
    <t>Peanuts</t>
  </si>
  <si>
    <t>MMR vaccines contain minute amounts of neomycin. Measles and mumps vaccines, which are grown on chick embryo tissue cultures, are not believed to contain significant amounts of egg cross-reacting proteins. Therefore, only a history of anaphylactic reaction to neomycin, gelatin, or the vaccine itself is considered a contraindication for the MMR vaccine. The MMR vaccine does not contain shellfish or peanuts.</t>
  </si>
  <si>
    <t>A 9-year-old child presents with emotional lability, restlessness, increased appetite with weight loss, and fatigue. The nurse recognizes that these are all cardinal signs for:</t>
  </si>
  <si>
    <t>Hypothyroidism</t>
  </si>
  <si>
    <t>Diabetes insipidus</t>
  </si>
  <si>
    <t>Hypopituitarism</t>
  </si>
  <si>
    <t>Hyperthyroidism in children can present as restlessness, trouble in school or decreased performance in school, emotional lability, and increased appetite with weight loss. Diabetes insipidus presents with a disproportionate increase in thirst. Hypopituitarism occurs when the pituitary gland does not produce the proper hormones. Hypothyroidism presents with lethargy, dry skin, coarse hair, feelings of being cold, and hair loss.</t>
  </si>
  <si>
    <t>The nurse is caring for an 11-year-old child with a pheochromocytoma who is scheduled for surgery tomorrow. The nurse notices the parent reaching to touch the tumor. The nurse advises the parent that palpating the tumor could release catecholamines and stimulate:</t>
  </si>
  <si>
    <t>Hypotension or bradyarrhythmia</t>
  </si>
  <si>
    <t>Hypertension or tachyarrhythmias</t>
  </si>
  <si>
    <t>Hypertension or bradyarrhythmia</t>
  </si>
  <si>
    <t>Hypotension or tachyarrhythmia</t>
  </si>
  <si>
    <t>A pheochromocytoma should never be palpated because palpation can cause a release of catecholamines and stimulate severe hypertension and tachyarrhythmias. The release of catecholamines will not produce hypotension or bradyarrhythmia.</t>
  </si>
  <si>
    <t>Which of the following is one of the MOST common causes of hypopituitarism?</t>
  </si>
  <si>
    <t>Tumor in the pituitary gland</t>
  </si>
  <si>
    <t>Adverse effect of medication</t>
  </si>
  <si>
    <t>Chromosomal abnormality</t>
  </si>
  <si>
    <t>Removal of the pituitary gland</t>
  </si>
  <si>
    <t>A tumor in the pituitary or hypothalamic region is the most common cause of organic pituitary hyposecretion. Medication-induced hypopituitarism is rare. Hypopituitarism is not related to a chromosomal abnormality. Removal of the pituitary gland can cause hypopituitarism, but it is less common than hypopituitarism caused by a tumor.</t>
  </si>
  <si>
    <t>The MOST common cause of hyponatremia in the pediatric population is:</t>
  </si>
  <si>
    <t>Syndrome of inappropriate antidiuretic hormone</t>
  </si>
  <si>
    <t>Vomiting</t>
  </si>
  <si>
    <t>Syndrome of inappropriate antidiuretic hormone is the most common cause of hyponatremia in the pediatric population. It is seen more frequently in infections, central nervous syndrome disorders, or traumas. Hyponatremia is caused by retaining of fluids and subsequent dilution of serum sodium. Diabetes insipidus, vomiting, and hypothyroidism are not common causes of hyponatremia in the pediatric population.</t>
  </si>
  <si>
    <t>The nurse is assessing a 10-year-old patient who was recently diagnosed with type 2 diabetes mellitus. The skin around the patient's neck is hyperpigmented and has a velvety appearance. This physical finding is consistent with:</t>
  </si>
  <si>
    <t>Vitiligo</t>
  </si>
  <si>
    <t>Acanthosis nigricans</t>
  </si>
  <si>
    <t>Purpura</t>
  </si>
  <si>
    <t>Tinea versicolor</t>
  </si>
  <si>
    <t>Acanthosis nigricans is a hyperpigmentation of skin folds that is present in children with type 2 diabetes mellitus or polycystic ovary syndrome. Vitiligo is an autoimmune condition in which the skin loses its pigment cells (melanocytes), resulting in white patches in the skin, hair, and mucous membranes. Purpura are small red or purple lesions that occur when small blood vessels burst and blood collects under the skin. Tinea versicolor is a fungal infection that causes discoloration of the skin, often on the trunk and shoulders.</t>
  </si>
  <si>
    <t>While triaging an adolescent patient with type 1 diabetes in diabetic ketoacidosis, the nurse notes increased depth and rate of respirations on assessment. The nurse suspects that the patient is experiencing:</t>
  </si>
  <si>
    <t>Orthopnea</t>
  </si>
  <si>
    <t>Kussmaul respiration</t>
  </si>
  <si>
    <t>Tachypnea</t>
  </si>
  <si>
    <t>Apnea</t>
  </si>
  <si>
    <t>Kussmaul respiration is a hyperventilation technique used to eliminate the excess carbon dioxide that builds up in patients with electrolyte abnormalities such as ketoacidosis. Orthopnea is the sensation of breathlessness in the recumbent position. It is relieved by sitting or standing. Tachypnea is increased respiratory rate. Apnea is the absence of breathing.</t>
  </si>
  <si>
    <t>The nurse reviews the home glucose log of a child with diabetes and notices a trend. The patient's glucose level is elevated at bedtime, and the patient then experiences hypoglycemia in the middle of the night followed by hyperglycemia the next morning. The nurse recognizes this condition as:</t>
  </si>
  <si>
    <t>True dawn phenomenon</t>
  </si>
  <si>
    <t>Insulin waning</t>
  </si>
  <si>
    <t>Somogyi effect</t>
  </si>
  <si>
    <t>Ketosis</t>
  </si>
  <si>
    <t>Somogyi effect, also called rebound hyperglycemia, occurs when blood glucose is elevated at bedtime, drops around 2 a.m., and subsequently rises again the following morning. In true dawn phenomenon, glucose levels are normal and then begin to rise around 3 a.m. Insulin waning occurs when there is a gradual rise in blood glucose from bedtime to the following morning. Ketosis occurs when the body produces excess blood acids; patients present with fatigue and fruity-smelling breath.</t>
  </si>
  <si>
    <t>A child with rheumatic heart disease is MOST likely to exhibit which of the following?</t>
  </si>
  <si>
    <t>Erythema marginatum and lack of fever</t>
  </si>
  <si>
    <t>Polyarthritis and erythema multiforme</t>
  </si>
  <si>
    <t>Polyarthritis and erythema marginatum</t>
  </si>
  <si>
    <t>Erythema multiforme and lack of fever</t>
  </si>
  <si>
    <t>Classic symptoms of rheumatic fever and rheumatic heart disease include polyarthritis and erythema marginatum. Patients will have a fever and will not have erythema multiforme.</t>
  </si>
  <si>
    <t>The nurse is assessing a 13-year-old patient who presents to the clinic with severe fatigue, mental fog, weight gain, dry skin, and thin hair. During the assessment, the nurse palpates an enlarged thyroid gland. The MOST likely cause is:</t>
  </si>
  <si>
    <t>Thyrotoxicosis</t>
  </si>
  <si>
    <t>Graves disease</t>
  </si>
  <si>
    <t>Clinical signs of hypothyroidism include weight gain, fatigue, mental fog, dry skin, brittle/sparse hair, constipation, and cold intolerance. An enlarged thyroid gland may be found on physical assessment. Hyperthyroidism presents with excessive sweating, irritability, rapid heart rate, and weight loss. Thyrotoxicosis occurs from uncontrolled hyperthyroidism and presents with nervousness, irritability, and excessive sweating. Graves disease is another manifestation of hyperthyroidism; the hallmark sign is large, bulging eyes.</t>
  </si>
  <si>
    <t>The parents of a 14-year-old patient present to clinic with concerns about their child’s eyes. The child blinks frequently and has a wide-eyed expression and lid lag. The parents deny any previous medical history. The MOST likely cause is:</t>
  </si>
  <si>
    <t>Pheochromocytoma</t>
  </si>
  <si>
    <t>Diabetes mellitus</t>
  </si>
  <si>
    <t>Adrenal insufficiency</t>
  </si>
  <si>
    <t>Hyperthyroidism can manifest with exophthalmos—protruding eyeballs that present as a wide-eyed expression; lid lag; absence of wrinkles on the forehead; and increased blinking. A patient with diabetes mellitus will present with polyphagia, polydipsia, and polyuria. Pheochromocytoma is a tumor that secretes catecholamines; patients present with hypertension and tachycardia. Symptoms of adrenal insufficiency include extreme fatigue, weight loss, and low blood pressure.</t>
  </si>
  <si>
    <t>The nurse is assessing a 13-year-old female patient who recently underwent surgery to treat hyperthyroidism. When the nurse taps the patient’s check, her face twitches. The nurse also notes a carpal spasm when pressure is applied to the patient’s upper arm. The nurse should suspect that the patient has developed:</t>
  </si>
  <si>
    <t>Hypoparathyroidism</t>
  </si>
  <si>
    <t>Hyperparathyroidism</t>
  </si>
  <si>
    <t>The patient most likely underwent a thyroidectomy to treat her hyperthyroidism and has since developed hypoparathyroidism. Symptoms of hypoparathyroidism can appear gradually or suddenly; they include heightened neuromuscular excitability (e.g., Chvostek sign, which is facial twitching elicited by tapping the facial nerve; Trousseau sign, a carpal spasm elicited when pressure is applied to the upper arm) and depression. Hypothyroidism symptoms include lethargy, weight gain, cold intolerance, and dry hair. Hyperthyroidism symptoms include irritability, heat intolerance, and weight loss. Hyperparathyroidism symptoms include kidney stones, excessive urination, and abdominal pains.</t>
  </si>
  <si>
    <t>The nurse is performing a pre-lunch glucose check on a 12-year-old patient. Which of the following is the MOST appropriate method for obtaining the blood sample?</t>
  </si>
  <si>
    <t>Intravenous blood draw</t>
  </si>
  <si>
    <t>Central-line blood draw</t>
  </si>
  <si>
    <t>Finger stick</t>
  </si>
  <si>
    <t>Urine sample</t>
  </si>
  <si>
    <t xml:space="preserve">A glucose check should be performed prior to a meal to assess whether extra insulin coverage is required. The sample should be obtained via finger stick because it is an accurate method and the least painful option for the patient. Intravenous blood draw should be avoided because it is a more invasive method, and a central-line blood draw unnecessarily exposes the child to a source of infection. Urine is not used to test blood glucose levels. </t>
  </si>
  <si>
    <t>The nurse is assessing a 7-year-old female patient who is exhibiting signs of excess androgen secondary to peripheral precocious puberty. The nurse should educate the patient on the use of:</t>
  </si>
  <si>
    <t xml:space="preserve">Deodorant </t>
  </si>
  <si>
    <t>Training bras</t>
  </si>
  <si>
    <t>Menstrual products</t>
  </si>
  <si>
    <t>Aspirin to relieve growing pains</t>
  </si>
  <si>
    <t>Physical signs of excess androgen include body hair growth, mild acne, body odor, and voice changes. The nurse should educate the patient on the use of deodorant to minimize body odor, as well as the importance of daily facial cleaning to control acne. Menstruation and breast bud development occur with estrogen excess, which the patient is not experiencing. Therefore, training bras and menstrual products are not necessary. Aspirin should not be given to children younger than 16 years due to the risk of Reye syndrome.</t>
  </si>
  <si>
    <t>The nurse is performing a cranial nerve assessment on a child. The nurse shines a light into the patient’s eyes to check pupillary response. Which cranial nerve is the nurse testing?</t>
  </si>
  <si>
    <t>I</t>
  </si>
  <si>
    <t>III</t>
  </si>
  <si>
    <t>V</t>
  </si>
  <si>
    <t>VII</t>
  </si>
  <si>
    <t>The nurse is testing the muscles of the iris and ciliary body, which is part of cranial nerve III’s (oculomotor) response. Cranial nerve I (olfactory) is tested by asking the patient to close their eyes and identify familiar odors, such as that of peanut butter. Cranial nerve V (trigeminal) is tested by asking the child to move their lower jaw from side to side against resistance. Cranial nerve VII (facial) is assessed by asking the patient to make various faces (e.g., smiling, frowning).</t>
  </si>
  <si>
    <t>Which of the following is a true statement about bilateral talipes valgus?</t>
  </si>
  <si>
    <t xml:space="preserve">It is more common in boys but less common in siblings, and it can be caused by prenatal infection. </t>
  </si>
  <si>
    <t>It is more common in girls and in siblings, and it can be caused by prenatal infection.</t>
  </si>
  <si>
    <t>It is more common in boys and in siblings, and it can be caused by in-utero position.</t>
  </si>
  <si>
    <t xml:space="preserve">It is more common in girls but less common in siblings, and it can be caused by in-utero position. </t>
  </si>
  <si>
    <t>Bilateral talipes valgus (clubfoot) can be caused by a mechanical force (in-utero position), by prenatal exposure to drugs or infections, or by an inherited factor. It is a deformity that occurs in utero in approximately 1 of every 1,000 births. Boys are twice as likely to be affected as girls. If a family has one child with a clubfoot, the chances of having another affected child increase markedly.</t>
  </si>
  <si>
    <t>A 12-year-old patient presents to the emergency department with swelling of the forearm and pain that that causes frequent awakening at night. Which of the following assessment questions will the nurse ask to confirm a suspicion of Ewing sarcoma?</t>
  </si>
  <si>
    <t>Have you had fever or warmth over the area?</t>
  </si>
  <si>
    <t>Have you had warmth or morning stiffness?</t>
  </si>
  <si>
    <t>Have you had recent weight loss or morning stiffness?</t>
  </si>
  <si>
    <t>Have you had fever or recent weight loss?</t>
  </si>
  <si>
    <t>Signs and symptoms of Ewing sarcoma include pain and swelling over the affected site (often causing awakening at night), possible tenderness over the affected area, and weight loss. Fever occurs in 25% of patients. Occasionally a soft tissue mass may be felt. If the tumor is over the leg bone, a limp may be present. If it is on one of the ribs, shortness of breath may be evident. In physically active children, the disease may be initially diagnosed as a sports injury. Warmth and morning stiffness are two of the three major presentations of juvenile idiopathic arthritis; the third is joint swelling.</t>
  </si>
  <si>
    <t>While performing an assessment on a newborn, the nurse notes blue sclera. Based on the suspected diagnosis, which of the following is the MOST appropriate education to provide to the parents?</t>
  </si>
  <si>
    <t>"Lay the newborn flat in the crib while feeding."</t>
  </si>
  <si>
    <t>"Lift the newborn by the ankles when changing diapers."</t>
  </si>
  <si>
    <t>"Put the newborn's arm around your back while breastfeeding."</t>
  </si>
  <si>
    <t>"Roll the newborn from side to side when changing diapers."</t>
  </si>
  <si>
    <t>Blue sclera, a bluish coloration of the whites of the eyes, is a key finding of osteogenesis imperfecta (OI). OI is a group of genetic disorders that primarily affect the bones. Infants and children with this condition have bones that fracture easily, often from mild trauma or with no apparent cause. They must be supported when they are turned, positioned, moved, or held. They should never be held by the ankles when being diapered; instead, they should be gently rolled side to side. The infant's arm should not be placed around the parent's back during breastfeeding.</t>
  </si>
  <si>
    <t>Which of the following terms describes a murmur that has a physiologic cause, but no anatomic abnormality?</t>
  </si>
  <si>
    <t>Innocent</t>
  </si>
  <si>
    <t>Functional</t>
  </si>
  <si>
    <t>Organic</t>
  </si>
  <si>
    <t>Congenital</t>
  </si>
  <si>
    <t>A functional murmur has a physiologic cause (e.g., anemia), but no anatomic abnormality. An innocent murmur is a murmur with no anatomic or physiologic cause. An organic murmur occurs when there is an anatomic defect in the heart, with or without the existence of a physiologic abnormality. A congenital murmur is caused by a structural defect existing from birth.</t>
  </si>
  <si>
    <t>The nurse is assessing an adolescent patient who is experiencing tenderness over the costochondral junctions. Which additional assessment finding would lead the nurse to suspect costochondritis?</t>
  </si>
  <si>
    <t>Anterior chest pain upon palpation to reproduce the pain</t>
  </si>
  <si>
    <t>High-pitched, whistling breath sound</t>
  </si>
  <si>
    <t>Pain that is relieved by sitting up</t>
  </si>
  <si>
    <t>Pericardial friction rub upon auscultation of heart sounds</t>
  </si>
  <si>
    <t>Musculoskeletal conditions are common causes of chest pain in the pediatric population. Costochondritis is characterized by anterior chest pain and tenderness to palpation over the sternocostal or costochondral junctions. Reproduction of the patient’s pain on palpation is the most indicative sign. Chest pain can be pleuritic in nature, exacerbated by deep inspiration. Bronchospasm, a common pulmonary cause of chest pain, would be accompanied by symptoms such as cough, fever, or wheezing. Pericarditis can present with pleuritic-type chest pain that is relieved by sitting up. Patients are often unable to assume the supine position, and the pain is frequently referred to the neck, shoulders, and abdomen. On physical examination, a pericardial friction rub may be noted in the midprecordial area with the patient supine.</t>
  </si>
  <si>
    <t>Which of the following is the MOST accurate description of the clubfoot deformity talipes calcaneovarus?</t>
  </si>
  <si>
    <t>Foot turns downward and inward.</t>
  </si>
  <si>
    <t>Sole is flexed.</t>
  </si>
  <si>
    <t>Foot is flat or convex with heel turned outward.</t>
  </si>
  <si>
    <t>Toes point upward.</t>
  </si>
  <si>
    <t xml:space="preserve">In talipes calcaneovarus, the foot is flat or convex with the heel turned outward. Talipes equinovarus, also known as idiopathic clubfoot, is the most common type of clubfoot and is present at birth. This congenital anomaly is seen in 1 out of every 1,000 infants, with half of cases involving only one foot, which points downward and inward. In talipes equinus, the sole is flexed and the heel does not touch the ground during walking. In talipes calcaneus, the toes point upward. </t>
  </si>
  <si>
    <t>A middle-school student who was involved in an altercation with a classmate has a transverse fracture of the maxilla above the upper teeth. This type of fracture is known as:</t>
  </si>
  <si>
    <t xml:space="preserve">
Le Fort I</t>
  </si>
  <si>
    <t>Le Fort II</t>
  </si>
  <si>
    <t>Le Fort III</t>
  </si>
  <si>
    <t>Zygomatic</t>
  </si>
  <si>
    <t>Le Fort I</t>
  </si>
  <si>
    <t>A Le Fort I fracture is a transverse fracture of the maxilla above the upper teeth. A zygomatic fracture involves the zygomatic bone, not the maxilla. A Le Fort II fracture is a pyramid-shaped fracture involving the midportion of the face and the nasal bones, a more extensive fracture than the Le Fort I. A Le Fort III fracture is a complete separation of the facial bones from the cranium, which occurs with major trauma.</t>
  </si>
  <si>
    <t>What is the PRIORITY area to assess in a child who has fallen and has several avulsed teeth?</t>
  </si>
  <si>
    <t>Presence of uncontrolled bleeding</t>
  </si>
  <si>
    <t>Length of time since the accident</t>
  </si>
  <si>
    <t>How the teeth have been preserved</t>
  </si>
  <si>
    <t>Signs of respiratory distress</t>
  </si>
  <si>
    <t>The priority assessment in this child is respiratory assessment, because the patient has had trauma to the airway, and one or more of the teeth may have been aspirated. The length of time since the fall is important to know because it is a factor in whether the teeth can be re-implanted, but it is not the priority. How the teeth are preserved is also important to know for possible re-implantation, but it is not the priority. Similarly, uncontrolled bleeding should be assessed, but it is also not the priority action.</t>
  </si>
  <si>
    <t>A father brings his 3-year-old child to the ED and reports that the child swallowed a coin. The nurse is preparing the child for x-rays. Which would be the MOST concerning location for the coin to be seen in the x-rays?</t>
  </si>
  <si>
    <t>Large intestine</t>
  </si>
  <si>
    <t>Stomach</t>
  </si>
  <si>
    <t>Small intestine</t>
  </si>
  <si>
    <t>Esophagus</t>
  </si>
  <si>
    <t>Once a foreign body clears the esophagus, it usually passes through the rest of the gastrointestinal tract without a problem. If the coin is still in the esophagus, the child should be monitored until it passes into the stomach. If it does not advance, an endoscopy may be necessary to remove it. If the coin is in the stomach or intestines, it has moved through the narrowest point in the gastrointestinal tract, so the risk of a blockage is decreased.</t>
  </si>
  <si>
    <t>A 5-year-old arrives to the ED with a fever of 100.8°F (38.2°C). When the nurse begins the assessment, the patient becomes unresponsive and begins to convulse. The nurse's BEST immediate action is to:</t>
  </si>
  <si>
    <t>Apply a cardiac monitor</t>
  </si>
  <si>
    <t>Call for assistance and protect the patient from injury</t>
  </si>
  <si>
    <t>Activate a code blue alert</t>
  </si>
  <si>
    <t>Insert an oral airway</t>
  </si>
  <si>
    <t>The child is likely experiencing a febrile seizure. Febrile seizures occur commonly in children ages 5 months to 5 years and are transient. Calling for assistance and protecting the child from falling or striking nearby objects during convulsions are the priority. A code blue is inappropriate, as the child is not suffering a cardiac or respiratory arrest. A cardiac monitor may be appropriate, but should not be the immediate action. Inserting an oral airway in a patient with an intact gag reflex is contraindicated.</t>
  </si>
  <si>
    <t>A 5-year-old patient presents with fever, irritability, and decreased level of consciousness. The child demonstrates positive Kernig and Brudzinski signs. The nurse knows that these signs indicate:</t>
  </si>
  <si>
    <t>Increased intercranial pressure</t>
  </si>
  <si>
    <t>Cerebrovascular accident</t>
  </si>
  <si>
    <t>Meningeal irritation</t>
  </si>
  <si>
    <t>Non-accidental trauma</t>
  </si>
  <si>
    <t>Brudzinski sign is demonstrated when the provider flexes the child's neck while applying gentle pressure to the chest. Involuntary flexion of the hips indicates that the body is attempting to reduce stress on irritated meninges. Kernig sign is demonstrated by an inability to straighten the legs when the hip is flexed at 90 degrees. Neither of these signs indicates increased intercranial pressure, non-accidental trauma, or cerebrovascular accident.</t>
  </si>
  <si>
    <t>A 15-year-old male patient presents with a history of ventricular shunt. The patient's mother reports that he has been increasingly irritable and sleepy over the past 2 days. This morning, he was difficult to rouse and returned to sleep rapidly. The nurse has a high concern for:</t>
  </si>
  <si>
    <t>Glioma</t>
  </si>
  <si>
    <t>Meningitis</t>
  </si>
  <si>
    <t>Increased intracranial pressure</t>
  </si>
  <si>
    <t>Encephalitis</t>
  </si>
  <si>
    <t>The patient with ventricular shunt is at high risk for shunt malfunction/displacement during periods of rapid growth, such as in the adolescent to young adult years. This often leads to the need for frequent shunt revisions to accommodate the patient's growing body. This patient's symptoms are consistent with increasing intracranial pressure. Although the symptoms are similar to those of meningitis and encephalitis, the patient does not have a fever or other associated symptoms. Glioma is possible, but not likely, based on the presentation and chronic medical history.</t>
  </si>
  <si>
    <t>The nurse is completing the chart for a child who is a suspected abuse victim. The MOST appropriate way to document the suspected abuse is to:</t>
  </si>
  <si>
    <t>Describe the type, size, and location of each wound</t>
  </si>
  <si>
    <t>Summarize the parents' statements in a paragraph</t>
  </si>
  <si>
    <t>Refer to the suspected abuser as "the alleged perpetrator"</t>
  </si>
  <si>
    <t>Compare the emotional reactions of the child with those of the parents</t>
  </si>
  <si>
    <t>Documentation in abuse situations must be accurate and objective. The nurse should quote, not summarize, any relevant subjective statements. Legal terminology, such as "alleged perpetrator," should be avoided in the medical record. The documentation should be factual and should not include the nurse's opinion or perception of the family's emotional reactions.</t>
  </si>
  <si>
    <t>While assessing a patient, the nurse auscultates a systolic murmur over the left anterior chest and between the scapulae posteriorly. Additional assessment findings include an elevated blood pressure (BP) in the upper extremities and decreased blood pressure in the lower extremities with bounding brachial pulses and weak femoral pulses. The MOST likely cause is:</t>
  </si>
  <si>
    <t>Coarctation of aorta</t>
  </si>
  <si>
    <t>Atrioventricular canal defect</t>
  </si>
  <si>
    <t>Tetralogy of Fallot</t>
  </si>
  <si>
    <t>Transposition of the great vessels</t>
  </si>
  <si>
    <t>Clinical manifestations of coarctation of aorta include the classic difference in BP and pulse quality between the upper and the lower extremities. The BP and pulse are higher/stronger in the upper extremities and lower/weaker/absent in the lower extremities. The murmur associated with coarctation of aorta is systolic and is best heard over the left anterior chest and between the scapulae posteriorly. Other manifestations include epistaxis, headaches, fainting, and lower-leg muscle cramps.</t>
  </si>
  <si>
    <t>The nurse is assessing a 15-year-old patient who complains of feeling sad and very overwhelmed at school. The patient also reports difficulty sleeping, loss of appetite, and weight loss. What is the PRIORITY assessment for this patient?</t>
  </si>
  <si>
    <t>Amount and quality of sleep</t>
  </si>
  <si>
    <t>Nutritional intake</t>
  </si>
  <si>
    <t>Presence of suicidal thoughts</t>
  </si>
  <si>
    <t>Amount of weight loss</t>
  </si>
  <si>
    <t>Assessing for suicidal ideations is the priority because these ideations pose a risk to the patient’s life. The patient’s nutritional intake, quality and quantity of sleep, and amount of weight loss are all important questions to ask an adolescent patient who is depressed, but they are not the priority.</t>
  </si>
  <si>
    <t>The nurse is assessing a child with an acute asthma exacerbation. Which of the following findings is the MOST concerning?</t>
  </si>
  <si>
    <t>Inspiratory wheezes</t>
  </si>
  <si>
    <t>Expiratory wheezes</t>
  </si>
  <si>
    <t>No wheezing</t>
  </si>
  <si>
    <t>Stridor</t>
  </si>
  <si>
    <t>The absence of wheezing in a child having an asthma exacerbation is an ominous sign, indicating that there is minimal airflow in the lungs. Wheezing, whether expiratory or inspiratory, is typically present in an asthma exacerbation. Stridor is a high-pitched wheezing sound that occurs with upper-airway obstruction, not asthma.</t>
  </si>
  <si>
    <t>A child is brought to the ED after being rescued from a house fire. Which of the following findings would cause the nurse to anticipate that the patient requires early endotracheal intubation?</t>
  </si>
  <si>
    <t>Hoarseness and stridor</t>
  </si>
  <si>
    <t>Unresponsiveness</t>
  </si>
  <si>
    <t>Clear, productive cough</t>
  </si>
  <si>
    <t>Hoarseness and stridor indicate that swelling of the upper airway from smoke inhalation has already started to occur. Delaying intubation increases the risk of difficult intubation as the airways continue to swell. Tachypnea by itself does not indicate that the child needs to be intubated. If the child is unresponsive, this is no longer considered early intubation. A clear, productive cough in this child is not as worrisome as the patient coughing up dark, burned secretions.</t>
  </si>
  <si>
    <t>Which injury does the nurse recognize as carrying the HIGHEST risk for infection?</t>
  </si>
  <si>
    <t>Puncture wound</t>
  </si>
  <si>
    <t>Abrasion</t>
  </si>
  <si>
    <t>Avulsion</t>
  </si>
  <si>
    <t>Laceration</t>
  </si>
  <si>
    <t>Puncture wounds bleed minimally, which prevents washout of bacteria inoculating the wound. Additionally, puncture wounds typically seal shut quickly, providing a ready environment for bacterial growth. Abrasions, avulsions, and lacerations all carry a lower risk for infection than puncture wounds.</t>
  </si>
  <si>
    <t>Weight gain</t>
  </si>
  <si>
    <t>Pain described as shooting, stabbing, or tingling, or as "pins and needles," is which type of pain?</t>
  </si>
  <si>
    <t>Visceral</t>
  </si>
  <si>
    <t>Nociceptive</t>
  </si>
  <si>
    <t>Neuropathic</t>
  </si>
  <si>
    <t>Radicular</t>
  </si>
  <si>
    <t>Neuropathic pain originates in the central or peripheral nervous system and is typically described as shooting, stabbing, or tingling, or as "pins and needles." There are two types of neuropathic pain: peripheral and central. Visceral pain is diffuse and difficult to localize. Nociceptive pain is described as sharp, aching, or throbbing. Radicular pain radiates from the back and hips into the legs through the spine.</t>
  </si>
  <si>
    <t>Which of the following findings is considered a normal variation in the neonate?</t>
  </si>
  <si>
    <t>Upper third of the ear falling below the outer canthus of the eye</t>
  </si>
  <si>
    <t>Ptosis of the eyelid</t>
  </si>
  <si>
    <t>Purulent discharge from the lacrimal ducts</t>
  </si>
  <si>
    <t>Absence of the red reflex in the eye</t>
  </si>
  <si>
    <t>Ptosis (drooping) of the eyelid is a normal variation in the neonate. It should resolve a few days after birth. If the upper third of the neonate's ear falls below the outer canthus of the eye, it may be indicative of Down syndrome. Purulent discharge from the lacrimal ducts is a sign of a blocked lacrimal duct and potential infection. Absence of the red reflex in the eye is indicative of a cataract.</t>
  </si>
  <si>
    <t>The nurse is assessing a neonate. Which of the following findings  indicates that the neonate is in respiratory distress?</t>
  </si>
  <si>
    <t>Bronchovesicular breath sounds</t>
  </si>
  <si>
    <t>Diaphragmatic breathing and rise in the abdomen during breathing</t>
  </si>
  <si>
    <t>Respiratory rate of 50 breaths/min with apnea (19 sec/min)</t>
  </si>
  <si>
    <t>Respiratory rate of 55 breaths/min with bradycardia and apnea (21 sec/min)</t>
  </si>
  <si>
    <t>A neonate with a respiratory rate of 55 breaths/min with apnea and bradycardia may be in respiratory distress. Although the respiratory rate is within normal limits (30–60 breaths/min), bradycardia and periods of apnea greater than 20 sec/min are signs of respiratory distress. Respiratory rate of 50 breaths/min with apnea less than 20 sec/min is a normal finding. Bronchovesicular breath sounds, soft breath sounds heard over the smaller airway passages of newborns, is also a normal finding. Diaphragmatic breathing and a rise in the abdomen during breathing are typically seen in the newborn period.</t>
  </si>
  <si>
    <t xml:space="preserve">The nurse places a tuning fork midline on the child’s head and asks them where the sound originates. The nurse is performing: </t>
  </si>
  <si>
    <t>Weber test</t>
  </si>
  <si>
    <t>Tympanometry</t>
  </si>
  <si>
    <t>Rinne test</t>
  </si>
  <si>
    <t xml:space="preserve">Pneumonic otoscopy </t>
  </si>
  <si>
    <t>The nurse is performing the Weber test, which is a screening test for hearing. It can detect unilateral conductive and  sensorineural hearing loss. The nurse will place a tuning fork midline on the child’s head and ask them where the sound originates. A tuning fork is also used in the Rinne test, which evaluates for hearing loss in one ear by comparing air conduction to bone conduction. The tuning fork is placed behind the ear, and the patient is asked to state when no vibrations are heard. Tympanometry measures the function and movement of the eardrum and middle ear. A small probe is placed into the ear to push air into the ear and form a pressurized seal. In pneumonic otoscopy, an inflator is used to instill air into the middle ear to measure the mobility of the tympanic membrane in response to pressure changes.</t>
  </si>
  <si>
    <t>Which of the following is the MOST appropriate method to assess pain in an 8-year-old patient?</t>
  </si>
  <si>
    <t>Use the Wong-Baker Pain Rating Scale</t>
  </si>
  <si>
    <t>Observe the child’s behavior</t>
  </si>
  <si>
    <t>Ask the child's parents to provide their assessment</t>
  </si>
  <si>
    <t>Use a pain scale rating of 0 to 10</t>
  </si>
  <si>
    <t>The most appropriate method to assess pain in an 8-year-old patient is to ask them to rate their pain level on a scale of 0 to 10. While the Wong-Baker Pain Rating Scale is can be used for an 8-year-old patient, it is more appropriate for a younger child. Relying on observation is not an effective method because it may not always indicate the severity of pain in a child. The nurse should not rely on the parents' assessment because pain is subjective. The child should be able and allowed to rate their own pain level.</t>
  </si>
  <si>
    <t>The nurse is examining an infant who had a midline sternotomy heart repair. Which of the following methods should the nurse use to pick up the patient?</t>
  </si>
  <si>
    <t>Lift and cradle</t>
  </si>
  <si>
    <t>Under arms and dangle</t>
  </si>
  <si>
    <t>Scoop and lift</t>
  </si>
  <si>
    <t>Scoop and dangle</t>
  </si>
  <si>
    <t>The nurse should use the scoop-and-lift method to pick up the infant because it places the least amount of stress on the surgical closure. Lift and cradle, under arms and dangle, and scoop and dangle could compromise the incision.</t>
  </si>
  <si>
    <t>Which of the following symptoms is typically the FIRST indication of a congenital heart disorder in an infant?</t>
  </si>
  <si>
    <t>Congestive heart failure</t>
  </si>
  <si>
    <t>Cyanosis</t>
  </si>
  <si>
    <t>Bradycardia</t>
  </si>
  <si>
    <t>Heart murmur</t>
  </si>
  <si>
    <t xml:space="preserve">Auscultation of a heart murmur is often the first sign of a congenital heart defect. Although cyanosis and bradycardia are found in many cardiac defects, they are not typically the first signs. Congestive heart failure occurs with increased shunting. </t>
  </si>
  <si>
    <t>Which of the following is a sign of congenital hip dysplasia in an infant?</t>
  </si>
  <si>
    <t>Equalized skin folds of the thighs on abduction of the hips</t>
  </si>
  <si>
    <t>Shortening of the limb on the unaffected side</t>
  </si>
  <si>
    <t>Restricted abduction of the affected hip</t>
  </si>
  <si>
    <t>Limited adduction of the affected hip</t>
  </si>
  <si>
    <t>An infant with congenital hip dysplasia may present with restricted abduction of the affected hip. Adduction is not affected. The limb on the affected side may appear shorter because it is not within the femoral head. In addition, there may be asymmetry of the gluteal folds.</t>
  </si>
  <si>
    <t>Which of the following assessments are indicators of EARLY septic shock?</t>
  </si>
  <si>
    <t>Chills, fever, and increased cardiac output</t>
  </si>
  <si>
    <t>Cool skin, normal blood pressure and pulse, and decreased urinary output</t>
  </si>
  <si>
    <t>Hypothermia, hypotension, and oliguria</t>
  </si>
  <si>
    <t>Cool skin, increased cardiac output, and hypotension</t>
  </si>
  <si>
    <t>In early septic shock, the patient will present with chills, fever, and vasodilation with increased cardiac output, which results in warm, flushed skin that reflects vascular tone abnormalities, as well as hyperdynamic, warm, or hyperdynamic-compensated responses. Blood pressure and urinary output are normal. As shock progresses and becomes decompensated, symptoms include hypotension, tachycardia, tachypnea, low urine output, and decreased cardiac output.</t>
  </si>
  <si>
    <t>The nurse is conducting an assessment on an infant with poor weight gain. The infant has a palpable thrill and prominent anterior chest. The MOST likely cause is:</t>
  </si>
  <si>
    <t>Atrial septal defect</t>
  </si>
  <si>
    <t>Ventricular septal defect</t>
  </si>
  <si>
    <t xml:space="preserve">Aortic stenosis </t>
  </si>
  <si>
    <t>Pulmonic stenosis</t>
  </si>
  <si>
    <t>Signs and symptoms of ventricular septal defect include poor weight gain, a palpable thrill, loud and widely split pulmonic component of S2, prominent anterior chest, feeding difficulties, diaphoresis, tachycardia, and rapid and grunting respirations. Symptoms of atrial septal defect include frequent respiratory or lung infections, difficulty breathing, tiredness when feeding, and irregular heartbeat. Symptoms of aortic stenosis include poor weight gain, fatigue, trouble feeding, and tachycardia. Symptoms of pulmonic stenosis include cyanosis, fatigue, poor weight gain, and swollen abdomen.</t>
  </si>
  <si>
    <t>A patient with bacterial conjunctivitis is MOST likely to exhibit which of the following symptoms?</t>
  </si>
  <si>
    <t>Photophobia</t>
  </si>
  <si>
    <t>Itchy, watery eyes</t>
  </si>
  <si>
    <t>Watery, mucoid discharge</t>
  </si>
  <si>
    <t>Purulent, mucoid discharge</t>
  </si>
  <si>
    <t>A patient with bacterial conjunctivitis is most likely to exhibit inflamed conjunctivae; purulent, mucoid discharge; mild pain; and occasional eyelid edema. Patients with viral conjunctivitis are likely to exhibit watery, mucoid discharge with tearing and photophobia. Patients with allergic conjunctivitis are likely to have itchy eyes with stringy/watery discharge.</t>
  </si>
  <si>
    <t>A daycare facility has asked the nurse to educate parents on how to prevent otitis media in infants. Which of the following is the MOST appropriate guidance?</t>
  </si>
  <si>
    <t>Obtain all necessary vaccinations, breastfeed (if possible), and avoid exposure to tobacco smoke</t>
  </si>
  <si>
    <t>Feed infant at a 45-degree angle (if propping the bottle) and avoid exposure to allergens and tobacco smoke</t>
  </si>
  <si>
    <t>Avoid exposure to allergens and tobacco smoke and vaccinate only if the infant does not have a cold</t>
  </si>
  <si>
    <t>Breastfeed (if possible), avoid exposure to tobacco smoke, and vaccinate only if the infant does not have a cold</t>
  </si>
  <si>
    <t xml:space="preserve">In children younger than 2 years, it is possible to prevent otitis media with simple measures such as sitting or holding the infant upright for feedings, maintaining routine childhood immunizations (even if the infant has a cold), and exclusively breastfeeding for at least 6 months. Propping of bottles is never encouraged, regardless of how the infant is positioned. Avoiding exposure to tobacco smoke and known allergens is also recommended. </t>
  </si>
  <si>
    <t>A nurse is providing discharge education to a family whose child is in hip spica casts. Which statement by the parent indicates that further teaching is required?</t>
  </si>
  <si>
    <t>“I can place my child in a regular rear-facing car seat.”</t>
  </si>
  <si>
    <t>“My child cannot sit in a conventional safety seat.”</t>
  </si>
  <si>
    <t>“My child may need a car-bed–style seat to travel comfortably.”</t>
  </si>
  <si>
    <t>“I should keep moisture-wicking pads under my child when lying down to absorb moisture and prevent infection.”</t>
  </si>
  <si>
    <t>A child in a hip spica cast needs special provisions to heal properly. They cannot sit in a regular rear-facing car seat because the casts do not bend to allow the sitting position. A car bed is more appropriate for this child, and care should be taken to avoid excess moisture in and around the cast.</t>
  </si>
  <si>
    <t>A parent of a 3-year-old child has concerns about the child’s ability to speak. The parent tells the nurse that the child is unable to say more than one-word commands such as “No,” “Stop,” and “More.” The parent is concerned that the child has a learning disability. The nurse's BEST action is to:</t>
  </si>
  <si>
    <t>Refer the child to a speech-language pathologist</t>
  </si>
  <si>
    <t>Tell the parent that the child is developing normally</t>
  </si>
  <si>
    <t>Tell the parent that the child requires more stimulation to promote language development</t>
  </si>
  <si>
    <t>Tell the parent that the child is being defiant and needs a more disciplined environment</t>
  </si>
  <si>
    <t>A 3-year-old child should be able to speak clearly, use sentences with three or more words, and use consonants. If the child is not communicating at that level, an immediate referral to a speech-language pathologist or speech therapist is required to assess for communication impairment. If impairment is caught early, many interventions can be used to help the child develop proper communication skills. Providing a more stimulating environment will not promote language development if there is a cognitive impairment. The nurse should never assume a child is being defiant when it comes to developmental milestones. Any deviation from expected achievements should be referred to a specialist for evaluation.</t>
  </si>
  <si>
    <t>Which of the following is the MOST accurate statement regarding predisposing factors for urinary tract infections (UTIs) in male infants younger than 1 year?</t>
  </si>
  <si>
    <t>Uncircumcised males younger than 1 year are more predisposed to UTIs.</t>
  </si>
  <si>
    <t>The short urethra of males younger than 1 year predisposes them to UTIs.</t>
  </si>
  <si>
    <t>Infrequent voiding is a predisposing factor for developing a UTI.</t>
  </si>
  <si>
    <t>Juvenile diabetes is a predisposing factor for developing a UTI.</t>
  </si>
  <si>
    <t>Being uncircumcised predisposes the male pediatric population to UTIs. A short urethra is a predisposing factor for UTIs in pediatric girls. Infrequent voiding is a predisposing factor for the school-aged population, but not for boys younger than 1 year because they do not yet have bladder control. Diabetes is a predisposing factor for UTIs in male and female children in the school-aged population.</t>
  </si>
  <si>
    <t>Which of the following is a risk factor for ventricular septal defect (VSD)?</t>
  </si>
  <si>
    <t>Postmature birth</t>
  </si>
  <si>
    <t>Small for gestational age</t>
  </si>
  <si>
    <t xml:space="preserve">A VSD is a birth defect. It is a hole in the septum that separates the two ventricles of the heart. Symptoms of VSD include cyanosis, poor feeding, poor weight gain, and tachypnea. Down syndrome is a risk factor for VSD. Risk is also increased in children with other autosomal trisomies, fetal alcohol syndrome, renal anomalies, patent ductus arteriosus, coarctation of the aorta, and prematurity. </t>
  </si>
  <si>
    <t>Which of the following patients is at the highest, most imminent risk for suicide?</t>
  </si>
  <si>
    <t>A 13-year-old who has researched which over-the-counter medications are most lethal</t>
  </si>
  <si>
    <t>A 14-year-old who smokes cigarettes and drinks alcohol on most weekends</t>
  </si>
  <si>
    <t>A 15-year-old who is being bullied by a classmate</t>
  </si>
  <si>
    <t>A 16-year-old who feels hopeless and sad about a recent breakup</t>
  </si>
  <si>
    <t xml:space="preserve">Researching how to commit suicide suggests that the individual is serious and is formulating a plan, which indicates a high risk for suicide. Regular drug or alcohol use may raise a person’s risk, but not necessarily imminently. Youth who report being frequently bullied by others are also at an increased risk of suicide-related behaviors and negative physical and mental health outcomes, but not necessarily imminently. Feeling hopeless and sad increases the risk of suicide, but it does not indicate an immediate threat. </t>
  </si>
  <si>
    <t>Four children, each at age 6 months, arrive at the clinic for DTaP immunization. Which child can safely be immunized at this time?</t>
  </si>
  <si>
    <t>The child with a temperature of 103°F (39.4°C)</t>
  </si>
  <si>
    <t>The child with a runny nose and cough</t>
  </si>
  <si>
    <t>The child taking prednisone for treatment of leukemia</t>
  </si>
  <si>
    <t>The child who experienced difficulty breathing after the last immunization</t>
  </si>
  <si>
    <t>Children with cold symptoms can safely receive diphtheria-tetanus-acellular pertussis (DTaP) immunization. Children who have a temperature of more than 102°F (38.9°C), who experienced serious reactions to previous immunizations, or who are receiving immunosuppressive therapy should not receive DTaP immunization.</t>
  </si>
  <si>
    <t>The nurse is preparing to speak at a community center on ways to decrease the risk of infant suffocation. Which of the following is the MOST appropriate guidance?</t>
  </si>
  <si>
    <t>Do not use crib bumpers, keep the crib away from windows, and ensure that crib slats are 3 inches apart</t>
  </si>
  <si>
    <t>Avoid plastic bags and balloons, do not use pillows, and position the crib near a window</t>
  </si>
  <si>
    <t>Avoid plastic bags and balloons, do not use pillows, and position the crib away from windows</t>
  </si>
  <si>
    <t>Ensure that crib slats are 3 inches apart, avoid plastic bags and balloons, and do not use crib bumpers</t>
  </si>
  <si>
    <t>The most appropriate guidance is to avoid plastic bags and balloons, not use pillows, and position the crib away from windows. Plastic bags and balloons are a choking hazard, and windows may have drapes or blind cords that can become wrapped around the infant’s neck, causing suffocation. Crib bumpers and pillows should also be avoided because the infant can suffocate by pressing their face against them. Crib slats should be less than 3 inches apart to keep the infant from slipping through them.</t>
  </si>
  <si>
    <t xml:space="preserve">A typically developing 6-month-old patient would be expected to meet which of the following gross motor milestones? </t>
  </si>
  <si>
    <t>Sitting alone without support</t>
  </si>
  <si>
    <t xml:space="preserve">Pulling to a stand </t>
  </si>
  <si>
    <t>Rolling from their back to their abdomen</t>
  </si>
  <si>
    <t>Grasping a rattle with their fingers</t>
  </si>
  <si>
    <t>A 6-month-old who has met age-appropriate gross motor development milestones should be able to roll from their back to their abdomen. Children are typically able to sit alone without support and pull to a stand at 9 months. A child should be able to grasp a rattle with their fingers at 6 months; however, this is a fine motor skill, not a gross motor skill.</t>
  </si>
  <si>
    <t>Copy a triangle</t>
  </si>
  <si>
    <t>Which of the following is a milestone in the preoperational stage of Piaget's stages of cognitive development?</t>
  </si>
  <si>
    <t>Conservation of mass</t>
  </si>
  <si>
    <t>Stranger anxiety</t>
  </si>
  <si>
    <t>Potential for moral reasoning</t>
  </si>
  <si>
    <t>Pretend play</t>
  </si>
  <si>
    <t xml:space="preserve">Piaget's four stages of cognitive development are sensorimotor, preoperational, concrete operational, and formal operational. The sensorimotor stage typically occurs from birth to age 2 years. Developmental milestones include stranger anxiety and object permanence. Milestones of the preoperational stage (age 2 to 6 years) are ability to pretend and egocentrism. In the concrete operational stage (age 7 to 11 years), children can engage in conservation and mathematical transformation. In the formal operational stage (age 12 years through adulthood), abstract reasoning and the potential for moral reasoning occur.  </t>
  </si>
  <si>
    <t>While walking past the waiting room, the nurse sees two toddlers sitting together in the play area. Each of them are playing with a similar toy car, but they have limited interaction. The nurse recognizes that they are engaging in which kind of play?</t>
  </si>
  <si>
    <t>Solitary</t>
  </si>
  <si>
    <t>Associative</t>
  </si>
  <si>
    <t>Parallel</t>
  </si>
  <si>
    <t>Cooperative</t>
  </si>
  <si>
    <t>The children are engaging in parallel play—playing adjacent to one another, but not influencing each other's behavior. In solitary play, a child plays alone and does not engage with others at all. Associative play, which is seen in preschoolers, is a stage of play in which children engage in a mutual activity or share toys while communicating with one another. In cooperative play, children work toward a common goal, such as playing a board game or building a sand castle together.</t>
  </si>
  <si>
    <t>The nurse is assessing a 5-month-old infant's growth and development. The infant is breastfed exclusively. The child weighed 7 lb, 4 oz at birth and now weighs 13 lb, 4 oz. Which of the following is the MOST accurate statement about this finding?</t>
  </si>
  <si>
    <t>The weight gain is indicative of poor maternal-child attachment.</t>
  </si>
  <si>
    <t>The infant has above-average weight gain.</t>
  </si>
  <si>
    <t>The infant has slow weight gain.</t>
  </si>
  <si>
    <t>The infant has normal weight gain.</t>
  </si>
  <si>
    <t>Infants typically double their birth weight by 4 to 6 months and triple their birth weight by 12 months. Based on those parameters, this infant has slow weight gain. To determine whether the infant is a natural slow gainer or if there is an issue (such as poor maternal-child attachment), the nurse should assess whether length and head circumference are growing according to typical rates of growth and whether the infant wakes on their own, wants to feed 8 to 12 times a day, and has a similar number of wet/dirty diapers as other infants their age.</t>
  </si>
  <si>
    <t>The nurse is teaching the parents of an infant about strategies for introducing solid foods. Which of the following instructions is MOST appropriate?</t>
  </si>
  <si>
    <t>"Add honey to rice cereals to improve flavor."</t>
  </si>
  <si>
    <t>"Mix rice cereal with breast milk, formula, or water to make it easier to swallow."</t>
  </si>
  <si>
    <t>"Begin with foods that have more appealing flavors."</t>
  </si>
  <si>
    <t>"Puree fruits with 100% fruit juice until they are smooth."</t>
  </si>
  <si>
    <t xml:space="preserve">When an infant is first being introduced to solid foods, they should be given rice cereals or mashed cooked grains mixed with breast milk, formula, or water to make it easier to swallow. Honey should not be given to a child younger than 12 months because it can cause infant botulism. While providing pureed fresh fruit is recommended, it should not be mixed with 100% juice. Juice should not be introduced until age 12 months or older. Foods that have an appealing taste typically have high sugar and salt content, so they should be avoided. </t>
  </si>
  <si>
    <t>The nurse is preparing a community educational program for first-time expectant parents. The nurse will recommend that the parents ask any family members or friends who will come in contact with the newborn to obtain which of the following vaccinations?</t>
  </si>
  <si>
    <t xml:space="preserve">Influenza and varicella </t>
  </si>
  <si>
    <t>DTaP or Tdap and MMR</t>
  </si>
  <si>
    <t>Influenza and MMR</t>
  </si>
  <si>
    <t>DTaP or Tdap and influenza</t>
  </si>
  <si>
    <t>Pertussis, also known as whooping cough, is a highly contagious respiratory disease that presents a high risk to infants. Infants cannot be vaccinated against pertussis until age 2 months; therefore, the Centers for Disease Control and Prevention (CDC) recommend that family, friends, and caregivers who will be in close contact with the infant receive the pertussis vaccine at least 2 weeks prior to seeing the infant. Any child who is not up to date should receive the diphtheria, tetanus, and pertussis (DTaP) vaccine, and adolescents and adults should receive the tetanus, diphtheria, and pertussis (Tdap) vaccine, if they have not already received it. In addition, they should receive the influenza vaccine during flu season. It is not necessary for them to receive the measles, mumps, and rubella (MMR) vaccine or the varicella vaccine.</t>
  </si>
  <si>
    <t>Which of the following is the most common cause of acquired heart disease in children in the United States?</t>
  </si>
  <si>
    <t xml:space="preserve">Rheumatic fever </t>
  </si>
  <si>
    <t xml:space="preserve">Kawasaki disease </t>
  </si>
  <si>
    <t>Heart failure</t>
  </si>
  <si>
    <t xml:space="preserve">Infective endocarditis </t>
  </si>
  <si>
    <t>Kawasaki disease, an acute systemic vasculitis, is the most common cause of acquired heart disease in children in the United States. Without treatment, 20% to 25% of children with Kawasaki disease will develop cardiac sequelae, the most common of which is dilation of the coronary arteries, which results in ectasia (dilation) or aneurysm formation. Rheumatic fever is the most common cause of acquired heart disease in children worldwide; however, the incidence of rheumatic fever has sharply decreased in the United States.</t>
  </si>
  <si>
    <t>A typically developing 12-month-old infant would be expected to have which of the following dental findings?</t>
  </si>
  <si>
    <t>No teeth</t>
  </si>
  <si>
    <t>First molar</t>
  </si>
  <si>
    <t>Cuspid teeth</t>
  </si>
  <si>
    <t>Central and lateral incisors</t>
  </si>
  <si>
    <t>Infants typically develop central and lateral incisors by age 12 months. On average, infants cut their first tooth around 7 months. Cuspids will develop at approximately 18 months, and the first molar will erupt at approximately 15 months.</t>
  </si>
  <si>
    <t>A congenital disability is MOST accurately described as a:</t>
  </si>
  <si>
    <t xml:space="preserve">Genetic condition </t>
  </si>
  <si>
    <t>Disability acquired after birth</t>
  </si>
  <si>
    <t>Disability that has existed since birth</t>
  </si>
  <si>
    <t>Condition that can be prevented if the pregnant person takes folic acid</t>
  </si>
  <si>
    <t>A condition that a child is born with, or that is present in utero and at birth, is known as a congenital disability. Examples include hypoplastic left heart syndrome, Down syndrome, or trisomy 18. Congenital disabilities are not always genetic; they can develop due to abnormal cell division or toxin exposure in utero. A condition acquired after birth is not congenital because it did not exist in utero or at birth. A condition that can be prevented if the pregnant person takes folic acid during pregnancy is a neural tube defect.</t>
  </si>
  <si>
    <t xml:space="preserve">The nurse is educating the parents of a child who is bedbound due to muscular dystrophy on strategies for normalization. The nurse will advise the parents to: </t>
  </si>
  <si>
    <t>Bring the child to the kitchen to eat meals</t>
  </si>
  <si>
    <t>Keep the child in one part of the home to decrease risk of overstimulation</t>
  </si>
  <si>
    <t>Limit the number of daily visitors</t>
  </si>
  <si>
    <t>Allow the child to sleep whenever they want</t>
  </si>
  <si>
    <t>Normalization is an important tool in special needs development. It refers to processes or attempts to make the child's living environment and education as close to normal as possible. This includes ensuring the child has a change of scenery and participates in normal daily activities, such as eating meals outside the bedroom; socializing with visitors, particularly other children; playtime activities; and structured sleep schedules.</t>
  </si>
  <si>
    <t xml:space="preserve">The nurse is conducting an assessment on a neonate and auscultates a loud, harsh, and widely transmitted systolic murmur that is heard best along the left sternal border at the third intercostal space. The infant is referred for further care. In the meantime, the nurse instructs the parents to: </t>
  </si>
  <si>
    <t>Restrict activities, watch for early signs of renal failure, and observe for poor feeding</t>
  </si>
  <si>
    <t>Encourage normal activities, watch for early signs of infection, and observe for poor feeding</t>
  </si>
  <si>
    <t>Restrict activities, watch for early signs of infection, and observe for signs of renal failure</t>
  </si>
  <si>
    <t>Encourage normal activities, watch for early signs of infection, and observe for signs of renal failure</t>
  </si>
  <si>
    <t>The neonate is exhibiting signs of a ventral septal defect (VSD). Surgery for VSD may occur months after diagnosis; therefore, the parents should be educated on how to monitor to prevent complications. Parents should watch for signs of heart failure (poor feeding, sweating, and heavy breathing), recognize and report early signs of infection, and avoid exposing the infant to people with obvious infections. The parents should be encouraged to let the child engage in normal activities; the importance of prophylactic antibiotics before and after surgical procedures should be emphasized.</t>
  </si>
  <si>
    <t>Planning_and_Management</t>
  </si>
  <si>
    <t>A child has been taking digoxin for a congenital heart defect. The child is vomiting between feeds, is anorexic, and is constantly nauseous. Which action should the nurse take?</t>
  </si>
  <si>
    <t>Reassure the parents that these are expected side effects of the medication</t>
  </si>
  <si>
    <t>Administer another dose of digoxin because the child may have vomited the medicine</t>
  </si>
  <si>
    <t>Notify the provider and draw a digoxin level</t>
  </si>
  <si>
    <t>Discontinue the digoxin because the child is allergic</t>
  </si>
  <si>
    <t xml:space="preserve">Signs of digoxin toxicity include vomiting without regard to feeds, anorexia, nausea, bradycardia, and dysrhythmias. If a child is showing signs of digoxin toxicity, the nurse should notify the provider and draw a digoxin blood level. It would be inappropriate to administer another dose or to discontinue the medication. These are not expected side effects, so the nurse should not provide the parents with false reassurance. </t>
  </si>
  <si>
    <t>An infant with cystic fibrosis is admitted for passing stools containing mucus and blood. While the nurse is preparing the patient for an barium contrast, a small brown stool is passed. Which of the following is the MOST accurate statement regarding the patient's condition?</t>
  </si>
  <si>
    <t>Immediate surgery is required.</t>
  </si>
  <si>
    <t>The child was misdiagnosed.</t>
  </si>
  <si>
    <t>Enema treatment has been effective.</t>
  </si>
  <si>
    <t>The condition has spontaneously resolved.</t>
  </si>
  <si>
    <t>Intussusception is a condition in which part of the intestine slides into an adjacent part of the intestine. It usually occurs in children younger than 3 years and is more likely to occur in male children and in children with cystic fibrosis. Parents report vomitus containing bile or fecal material and passage of stool containing mucus and blood, which is often described as “currant jelly stools.” Passage of a normal brown stool typically indicates that the intussusception has spontaneously resolved. The nurse should report this to the provider immediately, so that the diagnostic and therapeutic care plan can be adjusted, if required.</t>
  </si>
  <si>
    <t>The nurse is managing an infant after a cleft lip repair. Which of the following interventions would be included in the plan of care?</t>
  </si>
  <si>
    <t>Provide the infant with a pacifier</t>
  </si>
  <si>
    <t>Use a straw to feed</t>
  </si>
  <si>
    <t>Use a syringe with tubing to feed</t>
  </si>
  <si>
    <t>Place the infant in prone position</t>
  </si>
  <si>
    <t xml:space="preserve">Postoperative care for an infant with a cleft palate would include the use of a syringe with tubing to administer foods in the side of the mouth. This will help prevent injury to the suture line. Hard or pointed objects such as straws, utensils, or oral thermometers should be avoided to prevent trauma to the suture line. Pacifiers put pressure on the suture line, so they should be avoided as well. The nurse should not place the infant in the prone position; instead, the infant should be placed on the right side after feedings to prevent aspiration. </t>
  </si>
  <si>
    <t>The nurse is caring for a 15-year-old female patient who presented to the ED with a chief complaint of pelvic and vaginal pain. The patient looks disheveled, has multiple trauma injuries, and is reluctant to provide details. The nurse's best INITIAL action is to:</t>
  </si>
  <si>
    <t xml:space="preserve">Collect a urine specimen </t>
  </si>
  <si>
    <t xml:space="preserve">Contact the SANE </t>
  </si>
  <si>
    <t>Prepare the patient for ultrasound</t>
  </si>
  <si>
    <t>Administer the HPV vaccine</t>
  </si>
  <si>
    <t>The patient is presenting with physical signs consistent with trauma and is reluctant to provide details, which is common following a traumatic event. The nurse should suspect that the patient may be the victim of sexual assault. It is imperative that the nurse recognize these signs because evidence must be collected within 72 hours of a possible sexual assault. The nurse should alert the SANE (sexual assault nurse examiner) so they can conduct a forensic examination. Once the SANE evaluation is complete, the nurse can proceed with more in-depth examination, such as collecting a urine specimen and preparing the patient for ultrasound. An HPV (human papillomavirus) vaccination is not appropriate at this time; however, once other measures are taken, the nurse can inquire about the patient's vaccination status.</t>
  </si>
  <si>
    <t>The nurse is caring for a child with epistaxis secondary to foreign bodies and epistaxis digitorum. Upon discharge, the nurse will instruct the parents to:</t>
  </si>
  <si>
    <t xml:space="preserve">Keep small objects away from the child </t>
  </si>
  <si>
    <t>Pack the nose daily with gauze soaked in saline</t>
  </si>
  <si>
    <t>Keep the nasal passages dry</t>
  </si>
  <si>
    <t>Use a nasal spray daily to promote vasoconstriction</t>
  </si>
  <si>
    <t>Epistaxis, or nosebleeds, are common in childhood and typically secondary to object insertion or nose picking (epistaxis digitorum). Parents should be advised to keep small objects away from the child and to keep the fingernails cut short. It is not appropriate to pack the nose daily, as this occludes the airway. The nasal passages should be kept moist, not dry, to prevent cracking and bleeding. Nasal sprays should be used only temporarily for vasoconstriction, if indicated.</t>
  </si>
  <si>
    <t>The nurse is assisting with the visual assessment of a 6-year-old patient. The child says, “I can read up close, but I can’t see the white board in class. It’s too far away.” The nurse recognizes this visual refractive error as:</t>
  </si>
  <si>
    <t>Hyperopia</t>
  </si>
  <si>
    <t>Myopia</t>
  </si>
  <si>
    <t>Astigmatism</t>
  </si>
  <si>
    <t>Anisometropia</t>
  </si>
  <si>
    <t>Myopia, or nearsightedness, is characterized by being able to read close but not at a distance. Hyperopia, or farsightedness, is characterized by being able to see far away but not at a close distance. Astigmatism occurs when either the cornea or the lens of the eye has mismatched curves. It causes blurry vision. Anisometropia, when the eyes have varying refractive powers, causes asymmetric blurred vision.</t>
  </si>
  <si>
    <t xml:space="preserve">The nurse is preparing to administer oral acetaminophen to a 4-year-old patient who weighs 33 lb. Which of the following is the MOST appropriate dose? </t>
  </si>
  <si>
    <t>75 mg</t>
  </si>
  <si>
    <t>100 mg</t>
  </si>
  <si>
    <t>125 mg</t>
  </si>
  <si>
    <t>160 mg</t>
  </si>
  <si>
    <t xml:space="preserve">Acetaminophen should be dosed based on a child’s weight: 10 to 15 mg/kg/dose. To determine the correct dose, the nurse must first convert the patient's weight from pounds to kilograms. The patient weighs approximately 15 kg; therefore, the most appropriate dose is 160 mg. </t>
  </si>
  <si>
    <t>Which of the following is the MOST appropriate intervention for a patient with viral conjunctivitis?</t>
  </si>
  <si>
    <t>Ophthalmic antibiotics</t>
  </si>
  <si>
    <t>Intravenous antibiotics</t>
  </si>
  <si>
    <t>Warm, moist washcloth</t>
  </si>
  <si>
    <t>Ophthalmic drops with an antihistamine</t>
  </si>
  <si>
    <t>Warm or cold compresses can be used to alleviate symptoms of viral conjunctivitis. Bacterial conjunctivitis is generally treated with an ophthalmic antibiotic (drops or ointment, not intravenous). Eye drops with an antihistamine are used to alleviate symptoms of allergic conjunctivitis.</t>
  </si>
  <si>
    <t>The nurse is assessing a 6-month-old infant who cannot hold their head upright and midline. The nurse recognizes that the infant may be experiencing:</t>
  </si>
  <si>
    <t>Cerebral injury</t>
  </si>
  <si>
    <t>Weak neck muscles</t>
  </si>
  <si>
    <t>Hyperextension</t>
  </si>
  <si>
    <t>Infants should develop the ability to hold their heads midline by the age of 4 months. If they are unable to hold their head upright, it could be a sign of a serious underlying cerebral injury. Hyperopia is a condition of the eyes, also known as farsightedness. Weak neck muscles cannot be accurately assessed in a 6-month-old child. Hyperextension is excessive movement of a joint in one direction.</t>
  </si>
  <si>
    <t>The ED nurse is assessing a child with fever, stridor, and excessive drooling. The child is sitting up and leaning forward, with their chin thrust out. The nurse prepares for:</t>
  </si>
  <si>
    <t>Ultrasound to evaluate the throat for a foreign object</t>
  </si>
  <si>
    <t>Emergent intubation for airway management</t>
  </si>
  <si>
    <t>Chest tube insertion to remove fluid</t>
  </si>
  <si>
    <t>Inhaled albuterol treatment to control the asthma exacerbation</t>
  </si>
  <si>
    <t>Epiglottitis is a life-threatening condition characterized by inflammation of the epiglottis, blocking air flow to the lungs. Patients often present with fever, dysphagia (leading to drooling), stridor (can be a late sign), and sore throat. Patients sit in a classic “tripod” position: leaning forward, with chin thrust out, mouth open, and tongue protruding. Epiglottitis can rapidly progress into respiratory arrest, so airway management is the top priority. The nurse should prepare for emergent intubation. Because this condition is caused by inflammation, ultrasound and a chest tube are not required. The patient is not exhibiting signs and symptoms of an asthma exacerbation, so albuterol is not indicated.</t>
  </si>
  <si>
    <t>Which of the following patients has abnormal intracranial pressure (ICP)?</t>
  </si>
  <si>
    <t>A 6-day-old with an ICP of 1 mmHg</t>
  </si>
  <si>
    <t>A 4-month-old with an ICP of 3 mmHg</t>
  </si>
  <si>
    <t>A 12-month-old with an intracranial pressure of 5 mmHg</t>
  </si>
  <si>
    <t>A 2-year-old with an ICP of 10 mmHg</t>
  </si>
  <si>
    <t>A young child should have an ICP in the range of 3 to 7 mmHg; therefore, an ICP of 5 mmHg in a 12-month-old is normal, and an ICP of 10 mmHg in a 2-year-old is abnormal. A neonate should have an ICP of less than 3 mmHg, so an ICP of 1 mmHg in a 6-day-old is normal. A 4-month-old should have an ICP of 1.5 to 6 mmHg, so an ICP of 3 mmHg is normal.</t>
  </si>
  <si>
    <t xml:space="preserve">Which of the following teachings would the nurse include in the plan of care for a 5-year-old patient who has been prescribed albuterol and has FEV1 of 85%? </t>
  </si>
  <si>
    <t>Instruction on use of a nebulizer</t>
  </si>
  <si>
    <t>Instruction on how to not crush the medication</t>
  </si>
  <si>
    <t>Instruction on use of an adult inhalation technique with a holding chamber</t>
  </si>
  <si>
    <t xml:space="preserve">Instruction on use of the tidal breathing technique while holding the chamber mask </t>
  </si>
  <si>
    <t xml:space="preserve">Albuterol is a short-acting bronchodilator prescribed for symptoms of wheezing and shortness of breath associated with asthma. The nurse will reinforce the proper administration of the medication by having the child demonstrate how the inhaler is used. A 5-year-old child can use the tidal breathing technique while holding the chamber mask. Nebulizers are generally prescribed in children younger than 4 years. Oral albuterol does not provide immediate relief of asthmatic symptoms. </t>
  </si>
  <si>
    <t xml:space="preserve">Which of the following is the MOST appropriate nursing action when caring for a 5-month-old patient with acute otitis media? </t>
  </si>
  <si>
    <t>Administer aspirin</t>
  </si>
  <si>
    <t>Administer amoxicillin/clavulanate</t>
  </si>
  <si>
    <t>Administer amoxicillin</t>
  </si>
  <si>
    <t>Administer an over-the-counter cold medication</t>
  </si>
  <si>
    <t>In children younger than 6 months, amoxicillin is the recommended first line of treatment for newly diagnosed otitis media. If the child does not respond to amoxicillin, amoxicillin/clavulanate should be prescribed. A 5-month-old child should never be given aspirin due to risk of Reye syndrome. If pain relief is required, the child can be given acetaminophen. Over-the-counter medications, especially cold and cough medications, should not be given to children younger than 2 years.</t>
  </si>
  <si>
    <t>The nurse is caring for a 10-year-old child who was stung by a bee during recess. The patient has severe angioedema of the lips, urticaria, and hypotension. The patient is most likely experiencing:</t>
  </si>
  <si>
    <t>Contact dermatitis</t>
  </si>
  <si>
    <t>Asthma attack</t>
  </si>
  <si>
    <t>Allergic reaction</t>
  </si>
  <si>
    <t>Anaphylactic shock</t>
  </si>
  <si>
    <t>The patient is exhibiting signs of anaphylactic shock. The patient presents with allergic symptoms accompanied by hypotension, an indication of progressive shock. Angioedema and hypotension are not associated with asthma or dermatitis.</t>
  </si>
  <si>
    <t>A patient presents with a sore throat, fever, drooling, difficulty swallowing, and a muffled voice. What is the PRIORITY intervention?</t>
  </si>
  <si>
    <t>Administer intravenous (IV) steroids</t>
  </si>
  <si>
    <t>Administer supplemental oxygen</t>
  </si>
  <si>
    <t>Administer IV antibiotics</t>
  </si>
  <si>
    <t>Obtain a soft tissue neck x-ray</t>
  </si>
  <si>
    <t>The patient is displaying signs and symptoms of a peritonsillar abscess. Maintaining the patient’s airway and respiratory function is the priority intervention. Obtaining a soft tissue neck x-ray is part of the diagnostic workup, but not the first intervention. IV antibiotics and steroids are both indicated for the treatment of a peritonsillar abscess, but maintaining the patient’s airway and oxygenation status is the priority.</t>
  </si>
  <si>
    <t>A parent brings their child to the ED because the child has had diarrhea for 2 weeks. During the interview, the nurse learns that the patient has been swimming in a pond behind the neighbor’s house. Based on this information, what condition should the nurse suspect?</t>
  </si>
  <si>
    <t xml:space="preserve">
Giardiasis</t>
  </si>
  <si>
    <t>Salmonella</t>
  </si>
  <si>
    <t>Viral infection</t>
  </si>
  <si>
    <r>
      <rPr>
        <i/>
        <sz val="11"/>
        <color rgb="FF000000"/>
        <rFont val="Calibri"/>
        <family val="2"/>
        <scheme val="minor"/>
      </rPr>
      <t>Clostridium difficile</t>
    </r>
    <r>
      <rPr>
        <sz val="11"/>
        <color rgb="FF000000"/>
        <rFont val="Calibri"/>
        <family val="2"/>
        <scheme val="minor"/>
      </rPr>
      <t xml:space="preserve"> colitis</t>
    </r>
  </si>
  <si>
    <t>Giardiasis</t>
  </si>
  <si>
    <r>
      <rPr>
        <sz val="11"/>
        <color rgb="FF000000"/>
        <rFont val="Calibri"/>
        <family val="2"/>
        <scheme val="minor"/>
      </rPr>
      <t xml:space="preserve">Giardiasis is a gastrointestinal illness acquired from swallowing improperly treated or untreated water from lakes, ponds, streams, or wells. </t>
    </r>
    <r>
      <rPr>
        <i/>
        <sz val="11"/>
        <color rgb="FF000000"/>
        <rFont val="Calibri"/>
        <family val="2"/>
        <scheme val="minor"/>
      </rPr>
      <t>Clostridium difficile</t>
    </r>
    <r>
      <rPr>
        <sz val="11"/>
        <color rgb="FF000000"/>
        <rFont val="Calibri"/>
        <family val="2"/>
        <scheme val="minor"/>
      </rPr>
      <t xml:space="preserve"> colitis develops in patients who are taking antibiotics. Salmonella is contracted from contaminated food. A viral infection can cause diarrhea, but it is not the most likely cause in this situation.</t>
    </r>
  </si>
  <si>
    <t>A parent brings an unvaccinated child to the clinic with a fever, a runny nose, and white spots with blue centers on the inside of the cheeks. These spots are a characteristic sign of which childhood illness?</t>
  </si>
  <si>
    <t xml:space="preserve">
Mumps</t>
  </si>
  <si>
    <t>Chickenpox</t>
  </si>
  <si>
    <t>Measles</t>
  </si>
  <si>
    <t>Pertussis</t>
  </si>
  <si>
    <t>White spots on the inside of the cheek, referred to as Koplik spots, occur during the beginning stages of measles. Pertussis presents with a fever and cough, but no spots or other lesions. Mumps cause fever and swollen salivary glands, but not Koplik spots. Chickenpox causes a rash on the skin, not inside the cheeks.</t>
  </si>
  <si>
    <t>A 4-year-old child is brought to the ED with a sudden onset of intermittent abdominal cramping. The child is lying on the stretcher with their knees flexed. The parent reports that the patient has been vomiting and passing stools with blood and mucus "that look like jelly." These assessment findings are consistent with what condition?</t>
  </si>
  <si>
    <t>Small bowel obstruction</t>
  </si>
  <si>
    <t>Intussusception</t>
  </si>
  <si>
    <r>
      <rPr>
        <i/>
        <sz val="11"/>
        <color rgb="FF000000"/>
        <rFont val="Calibri"/>
        <family val="2"/>
        <scheme val="minor"/>
      </rPr>
      <t>Clostridium difficile</t>
    </r>
    <r>
      <rPr>
        <sz val="11"/>
        <color rgb="FF000000"/>
        <rFont val="Calibri"/>
        <family val="2"/>
        <scheme val="minor"/>
      </rPr>
      <t xml:space="preserve"> infection</t>
    </r>
  </si>
  <si>
    <t>Gastritis</t>
  </si>
  <si>
    <r>
      <rPr>
        <sz val="11"/>
        <color rgb="FF000000"/>
        <rFont val="Calibri"/>
        <family val="2"/>
        <scheme val="minor"/>
      </rPr>
      <t xml:space="preserve">Intussusception is the telescoping of one segment of the large intestine into another. This child has several of the typical symptoms of this condition, including jelly-like stools. Gastritis is stomach inflammation typically associated with ulcers. </t>
    </r>
    <r>
      <rPr>
        <i/>
        <sz val="11"/>
        <color rgb="FF000000"/>
        <rFont val="Calibri"/>
        <family val="2"/>
        <scheme val="minor"/>
      </rPr>
      <t>Clostridium difficile</t>
    </r>
    <r>
      <rPr>
        <sz val="11"/>
        <color rgb="FF000000"/>
        <rFont val="Calibri"/>
        <family val="2"/>
        <scheme val="minor"/>
      </rPr>
      <t xml:space="preserve"> infection causes loose, watery bowel movements. Patients with small bowel obstructions will have either no bowel movements or diarrhea.</t>
    </r>
  </si>
  <si>
    <t>A 16-year-old male patient presents with a sudden onset of severe pain and swelling of one side of the scrotum. The patient denies any difficulty urinating or any discharge. What condition should the nurse suspect?</t>
  </si>
  <si>
    <t xml:space="preserve">
Priapism</t>
  </si>
  <si>
    <t>Testicular tumor</t>
  </si>
  <si>
    <t>Testicular torsion</t>
  </si>
  <si>
    <t>Acute epididymitis</t>
  </si>
  <si>
    <t>Testicular torsion is a urological emergency characterized by the sudden onset of severe pain and swelling to one side of the scrotum. Acute epididymitis is an infection that develops gradually and causes ureteral discharge. Patients with a testicular tumor present with a change in testicular size over time, but not necessarily with pain. Priapism is also a urological emergency. It is a prolonged, painful erection without scrotal pain or swelling.</t>
  </si>
  <si>
    <t>A pediatric patient with no medical history other than a recent minor upper respiratory illness presents with unexplained bruising and a petechial rash over the chest. Which of the following lab results is consistent with these physical findings?</t>
  </si>
  <si>
    <t xml:space="preserve">
International normalized ratio (INR) of 3.0</t>
  </si>
  <si>
    <t>Hematocrit of 20%</t>
  </si>
  <si>
    <t>Platelet count of 60,000 platelets per microliter</t>
  </si>
  <si>
    <t xml:space="preserve">
Hemoglobin of 8 g/dL</t>
  </si>
  <si>
    <t>This patient has signs and symptoms of thrombocytopenia, so the nurse should expect a low platelet count (the normal range is 150,000 to 450,000 platelets per microliter). Both low hematocrit (in pediatric patients, less than 30%) and low hemoglobin (in pediatric patients, less than 11 g/dL) indicate anemia, which causes fatigue and shortness of breath, not bruising and petechiae. An elevated INR (normal is 1.1 or less) indicates that the patient is hypercoagulated, which may cause nosebleeds, bleeding gums, or blood in the urine or stool, but not bruising or petechiae.</t>
  </si>
  <si>
    <t>A 12-year-old patient with an ankle sprain is demonstrating crutch-walking in preparation for discharge. The nurse determines that the patient is knowledgeable about safe crutch-walking based on which observation?</t>
  </si>
  <si>
    <t>The patient looks down while crutch-walking.</t>
  </si>
  <si>
    <t>The patient stands up straight and keeps the crutches aligned with the body.</t>
  </si>
  <si>
    <t>The tops of the crutches fit tightly under the patient’s armpits.</t>
  </si>
  <si>
    <t>The patient’s elbows are slightly bent when holding the handgrips.</t>
  </si>
  <si>
    <t>Proper use of crutches has the elbows slightly bent when the patient holds the handgrips. The top of the crutch should not fit tightly under the armpits; there should be a space of 1 to 2 inches. The patient should look forward, not down, while walking. The patient should lean forward slightly with the crutches in front of the body instead of standing straight with the crutches even with the body.</t>
  </si>
  <si>
    <t>A child has been diagnosed with acute otitis media (AOM). The nurse anticipates that the child will be prescribed what dose of amoxicillin?</t>
  </si>
  <si>
    <t>14 mg/kg/day in one or two doses</t>
  </si>
  <si>
    <t>90 mg/kg/day in two doses</t>
  </si>
  <si>
    <t>50 mg/kg/day</t>
  </si>
  <si>
    <t>15 mg/kg/day in two doses</t>
  </si>
  <si>
    <t>Amoxicillin is the first-line agent for the treatment of AOM in children. The recommended dose is 90 mg/kg/day orally (PO) in two doses. Amoxicillin–clavulanate can be prescribed at the same dose to children who have received a beta-lactam antibiotic in the previous 30 days, have concomitant purulent conjunctivitis, or have a history of recurrent otitis media unresponsive to amoxicillin. Cefdinir and ceftriaxone are alternatives for children with mild allergy to penicillins—14 mg/kg/day PO in one or two doses and 50 mg/kg/day PO, respectively. Children with severe reactions to beta-lactams can be prescribed clarithromycin, 15 mg/kg/day PO in two doses.</t>
  </si>
  <si>
    <t>An adolescent patient was playing basketball and felt a "pop" in their calf muscle, followed by intense pain. The patient is unable to walk normally because they cannot bend the affected foot downward to push off from the ground. Which of the following treatment interventions is MOST appropriate?</t>
  </si>
  <si>
    <t xml:space="preserve">
Ice and elevate the affected leg</t>
  </si>
  <si>
    <t>Perform the Thompson test</t>
  </si>
  <si>
    <t>Apply a posterior full-leg splint</t>
  </si>
  <si>
    <t>Apply an ankle stirrup splint</t>
  </si>
  <si>
    <t>Ice and elevate the affected leg</t>
  </si>
  <si>
    <t>The patient has signs and symptoms of an Achilles tendon rupture. Ice and elevation of the affected leg are important interventions to reduce pain and swelling. An ankle stirrup splint applies support to the lateral sides of the ankles for ankle injuries, which is not the appropriate type of support for an Achilles tendon injury. A lower-leg boot or splint is indicated, but not a posterior full-leg splint. The Thompson test (squeezing the gastrocnemius muscle to check for associated plantar flexion) aids in the diagnosis of a ruptured Achilles tendon, but it does not treat the injury.</t>
  </si>
  <si>
    <t>A parent brings a child to the hospital with a possible case of chickenpox. Placing the patient in respiratory isolation best reflects which ethical principle?</t>
  </si>
  <si>
    <t>Beneficence</t>
  </si>
  <si>
    <t>Nonmaleficence</t>
  </si>
  <si>
    <t>Fairness</t>
  </si>
  <si>
    <t>Utility</t>
  </si>
  <si>
    <t>The ethical principle of utility concerns emphasizing the good of the many over the wants and needs of the individual. In this case, the nurse is isolating the patient but protecting others from being exposed to the disease. Beneficence means to do what is in the patient’s best interest. In this case, isolating the patient benefits others rather than the patient. Similarly, nonmaleficence means to “do no harm” toward the patient. Fairness refers to treating all patients equally.</t>
  </si>
  <si>
    <t>The nurse is providing discharge instructions to an adolescent patient with asthma. The nurse instructs the patient on how to use a peak flow meter to assess and manage symptoms. The nurse’s teaching has been effective if the patient states:</t>
  </si>
  <si>
    <t>“I do not need any of my asthma medications if I am in the green zone.”</t>
  </si>
  <si>
    <t>“I will use my rescue inhaler and closely monitor myself if I am in the yellow zone.”</t>
  </si>
  <si>
    <t>“I will ask my parents to take me to the hospital if I am in the yellow zone.”</t>
  </si>
  <si>
    <t>“I will not play soccer if I am in the red zone.”</t>
  </si>
  <si>
    <t>A peak flow reading in the "yellow zone" represents 50% to 70% of the usual readings and indicates some narrowing of the airways, for which additional treatment may be needed. A peak flow reading in the "red zone" represents less than 50% of the patient’s peak flow readings. This is a medical emergency, and the patient needs to seek treatment. A peak flow reading in the "green zone" shows that the asthma is well controlled with a peak flow that is 71% to 100% of normal. However, this reading does not indicate that the patient should discontinue asthma medications.</t>
  </si>
  <si>
    <t>Which drug order should the nurse question for a patient diagnosed with acute bronchitis?</t>
  </si>
  <si>
    <t>Acetaminophen</t>
  </si>
  <si>
    <t>Dextromethorphan</t>
  </si>
  <si>
    <t>Albuterol</t>
  </si>
  <si>
    <t>Amoxicillin</t>
  </si>
  <si>
    <t>Viral infections cause most cases of bronchitis. Antibiotics are not appropriate and should not be prescribed unless a secondary bacterial infection has developed. Acetaminophen is indicated for any fever present. Dextromethorphan is prescribed for the cough usually associated with bronchitis. An albuterol inhaler is administered for any wheezing present.</t>
  </si>
  <si>
    <t>A parent brings a 2-year-old child with respiratory distress to the ED. The parent reports that the child had an upper respiratory illness for several days that worsened tonight. The child has a barking cough, with loud noises coming from the airway. The nurse will prepare to administer:</t>
  </si>
  <si>
    <t>Epinephrine</t>
  </si>
  <si>
    <t>Racemic epinephrine</t>
  </si>
  <si>
    <t>Ipratropium bromide</t>
  </si>
  <si>
    <t>The child is displaying signs and symptoms of croup. In addition to cool, humidified oxygen, racemic epinephrine is used to temporarily reduce airway swelling. Epinephrine is administered parenterally for anaphylactic reactions or cardiac arrest. Albuterol and ipratropium bromide are administered for wheezing and other conditions of the lungs.</t>
  </si>
  <si>
    <t>A parent arrives at the ED screaming that their 1-year-old child choked on a piece of food. The child is unresponsive. What is the INITIAL intervention?</t>
  </si>
  <si>
    <t>Administer abdominal thrusts</t>
  </si>
  <si>
    <t>Administer back blows</t>
  </si>
  <si>
    <t>Perform a blind finger sweep of the mouth</t>
  </si>
  <si>
    <t>Place the head in the sniffing position</t>
  </si>
  <si>
    <t>The child is unresponsive, so the nurse needs to initiate basic life support. The first step is to open the airway by tilting the head into the sniffing position. Back blows are appropriate for conscious infants. Abdominal thrusts are appropriate for conscious patients. The nurse should not perform a blind finger sweep because it could push the foreign body farther back into the airway.</t>
  </si>
  <si>
    <t>A child is undergoing suture repair of a laceration to the lower leg. The nurse instructs the patient that the sutures will be removed in how many days?</t>
  </si>
  <si>
    <t>3 to 5</t>
  </si>
  <si>
    <t>5 to 7</t>
  </si>
  <si>
    <t>7 to 10</t>
  </si>
  <si>
    <t>10 to 14</t>
  </si>
  <si>
    <t>Sutures to the lower legs and feet should be removed in 10 to 14 days. Most sutures in the face are removed in 3 to 5 days, but some face sutures, as well as scalp sutures, are removed in 5 to 7 days. Sutures on the torso are removed in 7 to 10 days.</t>
  </si>
  <si>
    <t>The nurse is teaching the parents of a child with terminal cancer the differences between hospice care and palliative care. Which of the following statements by the nurse is MOST accurate?</t>
  </si>
  <si>
    <t>"Both hospice care and palliative care are provided for terminally ill patients only."</t>
  </si>
  <si>
    <t>"Palliative care can be provided to patients with a life expectancy of 12 months or less."</t>
  </si>
  <si>
    <t>"Unlike hospice care, palliative care is provided in the home setting only."</t>
  </si>
  <si>
    <t>"Life-prolonging medications can be used in palliative care but not in hospice care."</t>
  </si>
  <si>
    <t xml:space="preserve">A key difference between hospice care and palliative care is the type of care that is provided. In palliative care, life-prolonging medications and equipment can be used, whereas in hospice care, curative and life-prolonging treatments cannot be provided. Another key difference is that palliative care is available to patients in all disease stages; life expectancy is not a factor. Hospice admission criteria require that the patient have a life expectancy of 6 months or less. Both hospice care and palliative care can take place in a variety of settings, although the majority of hospice care programs are home based. </t>
  </si>
  <si>
    <t>End of life</t>
  </si>
  <si>
    <t>The nurse is teaching the parent of a child who is receiving palliative care about measuring oral medication using a dropper. The parent speaks English as a second language and has low proficiency. What is the BEST way to ensure that the instructions are understood?</t>
  </si>
  <si>
    <t>Provide hands-on learning with a dropper using water to practice</t>
  </si>
  <si>
    <t>Ask the parent to teach-back the skill being taught</t>
  </si>
  <si>
    <t>Provide written instructions after verbal instructions</t>
  </si>
  <si>
    <t>Arrange for a nurse’s aide to administer the medication</t>
  </si>
  <si>
    <t>To provide proper care for a child who is receiving palliative care, the family must be well-informed regarding the illness, disease progression, medication use, and use of equipment. The nurse must identify barriers to family education, such as low English proficiency, low literacy, low confidence, family dynamics, and cultural beliefs regarding care during illness. The best way to ensure that the instructions are understood and that the parent can complete the skill is to use the teach-back method. Hands-on practice can be provided, but the teach-back method more effectively ensures that the parent understands the skill well enough to explain it step by step. Verbal instructions can be supplemented with written instructions, but this does not ensure that the instructions have been understood. There is no evidence that the parent is unable to complete the skill; therefore, the nurse does not need to arrange for an aide to administer the medication.</t>
  </si>
  <si>
    <t xml:space="preserve">During a death vigil, the MOST appropriate nursing intervention is to: </t>
  </si>
  <si>
    <t>Teach the family about the dying process</t>
  </si>
  <si>
    <t>Determine cultural needs at the time of death</t>
  </si>
  <si>
    <t>Arrange a team meeting to prepare for the loss</t>
  </si>
  <si>
    <t>Keep family members separated from the patient</t>
  </si>
  <si>
    <t>When a child is approaching death, family members will draw near to spend the last days or hours with the child. This time is often referred to as the death vigil. The nurse can provide the most support for the family by teaching them about the process of dying. Any cultural considerations would have been determined earlier in the hospice process. It is not necessary to arrange for a team meeting to prepare for the loss.</t>
  </si>
  <si>
    <t>The nurse is managing a patient who has undergone a cleft palate repair. Which of the following nursing interventions is MOST critical?</t>
  </si>
  <si>
    <t>Maintain an intact suture line</t>
  </si>
  <si>
    <t>Use a syringe or a cup when feeding</t>
  </si>
  <si>
    <t>Position the patient on their abdomen or side</t>
  </si>
  <si>
    <t>Keep hard and pointed objects away from the patient’s mouth</t>
  </si>
  <si>
    <t>Positioning the patient on their abdomen or side allows for a patent airway. Maintaining a patent airway is the most critical nursing intervention. The nurse should also assess for signs of respiratory distress. Using a syringe or cup during feedings helps prevent injury to the suture line, and rinsing and cleaning the suture line helps to maintain its integrity. However, these actions are not the most critical intervention. While keeping hard and pointed objects away from the patient is an important component of the plan, it is also not the most critical intervention.</t>
  </si>
  <si>
    <t>A parent brings their 13-year-old child to the clinic with a complaint of a nonpruritic lesion on the child's back that is more pronounced when exposed to sunlight. The nurse notes small areas of pigmented, dry skin. The nurse suspects that the patient has:</t>
  </si>
  <si>
    <t>Atopic dermatitis</t>
  </si>
  <si>
    <t>Folliculitis</t>
  </si>
  <si>
    <r>
      <rPr>
        <sz val="11"/>
        <color rgb="FF000000"/>
        <rFont val="Calibri"/>
        <family val="2"/>
        <scheme val="minor"/>
      </rPr>
      <t xml:space="preserve">The nurse recognizes that the patient likely has tinea versicolor, which is a fungal infection that interferes with normal pigmentation of the skin. The patient may have small, nonpruritic lesions that are lighter or darker than the surrounding skin. The lesions can be more pronounced when exposed to sunlight. Atopic dermatitis (eczema) is an inflammatory condition characterized by pruritic plaques on the skin. Folliculitis is an inflammation of the hair follicles that is typically caused by a </t>
    </r>
    <r>
      <rPr>
        <i/>
        <sz val="11"/>
        <color rgb="FF000000"/>
        <rFont val="Calibri"/>
        <family val="2"/>
        <scheme val="minor"/>
      </rPr>
      <t>Staphylococcus aureus</t>
    </r>
    <r>
      <rPr>
        <sz val="11"/>
        <color rgb="FF000000"/>
        <rFont val="Calibri"/>
        <family val="2"/>
        <scheme val="minor"/>
      </rPr>
      <t xml:space="preserve"> infection. It is characterized by small red bumps or white-headed pimples around the follicles. Contact dermatitis is an inflammatory condition that develops as a response to an allergen or irritant. It is characterized by erythematous and pruritic skin lesions that appear after contact with a foreign substance.</t>
    </r>
  </si>
  <si>
    <t>The nurse is caring for a 3-year-old patient who has been hospitalized for a week. The child is toilet-trained but is now urinating in the hospital bed. The nurse recognizes that the child is demonstrating:</t>
  </si>
  <si>
    <t>Self-assertion</t>
  </si>
  <si>
    <t>Regression</t>
  </si>
  <si>
    <t>Detachment</t>
  </si>
  <si>
    <t>Anger</t>
  </si>
  <si>
    <t>In times of stress, children may experience a temporary loss of developmental milestones, which is termed regression. A child may voice their wants due to their sense of autonomy (self-assertion), but this is not a manifestation of loss of a developmental milestone. Detachment is a break in the bond between parent and child that typically occurs after a prolonged separation. The child may be angry at their parents or at the situation, but that anger is unlikely to result in a developmental regression such as urinating in the bed after having been toilet-trained.</t>
  </si>
  <si>
    <t>The nurse is preparing to explain to a 4-year-old patient how a cast will be applied to their arm. Which of the following methods would MOST effectively meet the developmental needs of the child?</t>
  </si>
  <si>
    <t>Using a doll to demonstrate the casting procedure</t>
  </si>
  <si>
    <t>Explaining the procedure as it is performed</t>
  </si>
  <si>
    <t>Showing the child a diagram of the procedure</t>
  </si>
  <si>
    <t>Playing a video that describes the procedure</t>
  </si>
  <si>
    <t xml:space="preserve">The most effective teaching method for a preschool-aged child is to use play therapy to demonstrate the casting procedure on a doll. This will allow the child to see that the procedure is not painful and will minimize any fear of body mutilation or loss of body integrity, which is common during this period of development. This would not be effectively conveyed in a video or in explanations as the procedure is performed. The use of a diagram would be more appropriate for a school-aged child. </t>
  </si>
  <si>
    <t>A child’s nursing diagnosis is “Constipation: Risk for, related to appendectomy and anesthetics.” Which of the following interventions is MOST appropriate on the first postoperative day?</t>
  </si>
  <si>
    <t>Limit activity until peristalsis has returned</t>
  </si>
  <si>
    <t>Offer liquids when bowel sounds are present</t>
  </si>
  <si>
    <t>Auscultate bowel sounds every shift</t>
  </si>
  <si>
    <t>Notify the provider if the child does not have a bowel movement</t>
  </si>
  <si>
    <t>Present bowel sounds is a sign that peristalsis has resumed and there is no paralytic ileus. The nurse can then offer the child liquids. Activity should not be limited until peristalsis has returned; instead, it should be increased as tolerated to promote gastric motility. Bowel sounds should be auscultated at least every 4 hours, not on shift change. The child is expected to have a bowel movement 3 to 4 days postoperatively, so the provider should not be contacted if there is no bowel movement on day one.</t>
  </si>
  <si>
    <t>Which of the following is a sign that a ventriculoperitoneal shunt is malfunctioning?</t>
  </si>
  <si>
    <t>Nausea and vomiting</t>
  </si>
  <si>
    <t>Decrease in blood pressure</t>
  </si>
  <si>
    <t>Lethargy and low-grade fever</t>
  </si>
  <si>
    <t>Febrile seizures</t>
  </si>
  <si>
    <t>A ventriculoperitoneal shunt drains excess cerebrospinal fluid when there is an obstruction in the normal outflow or decreased absorption of the fluid. It is used to treat hydrocephalus. Common signs of a malfunction include nausea and vomiting, redness over the shunt, headache, and lethargy. Fever, seizures, and low blood pressure are not signs of a malfunction.</t>
  </si>
  <si>
    <t>The nurse is educating parents on how to prevent diaper dermatitis. Which of the following will be included in the discharge instructions?</t>
  </si>
  <si>
    <t>Decrease the frequency of diaper changes</t>
  </si>
  <si>
    <t>Use zinc oxide barrier cream when changing diapers</t>
  </si>
  <si>
    <t>Use cloth diapers exclusively</t>
  </si>
  <si>
    <t xml:space="preserve">Use baby wipes with alcohol </t>
  </si>
  <si>
    <t>Diaper dermatitis is inflammation of the skin caused by skin irritation with urine and feces. Zinc oxide barrier cream provides the best protection against moisture in the area and will help to prevent dermatitis. Moisture increases the rash, so diapers should be changed promptly. Baby wipes with alcohol should not be used because the alcohol may further irritate the skin. There is no evidence that cloth diapers decrease moisture, so disposable diapers can be used.</t>
  </si>
  <si>
    <t>An infant is exhibiting increased effort of breathing, has a respiratory rate of 42 breaths/min, and is mildly cyanotic. Which of the following is the PRIORITY nursing intervention?</t>
  </si>
  <si>
    <t xml:space="preserve">Administer 100% oxygen and monitor oxygen saturation </t>
  </si>
  <si>
    <t>Maintain airway and reassess</t>
  </si>
  <si>
    <t>Administer 100% oxygen and provide comfort measures</t>
  </si>
  <si>
    <t>Maintain airway and administer oxygen via mask</t>
  </si>
  <si>
    <t>The child is in moderate respiratory distress with poor oxygen saturation, as evidenced by the mild cyanosis. The priority nursing intervention is to administer 100% oxygen and monitor oxygen saturation. There are no signs of an airway issue at this time, so the oxygen saturation takes precedence.</t>
  </si>
  <si>
    <t>The nurse is caring for a child with cystic fibrosis who receives pancreatic enzymes. Which statement by the parent demonstrates understanding of proper administration of the supplemental enzymes?</t>
  </si>
  <si>
    <t>“I will give the enzymes between meals for the best absorption.”</t>
  </si>
  <si>
    <t>“I will stop the enzymes if my child's stools become greasy.”</t>
  </si>
  <si>
    <t>“I will stop the enzymes if my child is given any antibiotics.”</t>
  </si>
  <si>
    <t>“I will give the enzymes before every meal and large snack.”</t>
  </si>
  <si>
    <t>In children with cystic fibrosis, the ducts in the pancreas become clogged with thick mucus, which blocks enzymes from reaching food in the small intestine. This can result in low weight gain, malnutrition, and, potentially, failure to thrive. Pancreatic enzyme replacement breaks down complex carbohydrates, fats, and proteins so that the body can absorb the calories, vitamins, and minerals required to gain and maintain weight. To maximize absorption, the enzymes should given before every meal and large snack. Greasy stools are a sign that the body is not effectively breaking down food, so the supplementation should continue to be administered. The enzymes are safe to administer with concurrent antibiotic treatment.</t>
  </si>
  <si>
    <t>The nurse is caring for a child immediately after a cardiac catheterization procedure. Which of the following is the PRIORITY nursing intervention?</t>
  </si>
  <si>
    <t>Assess the area proximal to the incision</t>
  </si>
  <si>
    <t>Apply a pressure dressing over the catheter site for several hours</t>
  </si>
  <si>
    <t>Elevate the head of the bed until patient comfort has been achieved</t>
  </si>
  <si>
    <t>Place the child on bed rest for approximately 2 hours following the procedure</t>
  </si>
  <si>
    <t>A pressure dressing should be applied over the catheter site for several hours to prevent bleeding. In addition, the nurse should assess the area distal, not proximal, to the incision site. The child should be placed on bed rest for at least 6 hours to prevent disruption of the clot, which could lead to a hemorrhage. The child must lie flat to prevent hip flexion, which can predispose the child to bleeding.</t>
  </si>
  <si>
    <t>The nurse is caring for a 6-year-old patient with severe bacterial sinusitis and vomiting. The nurse will prepare to administer:</t>
  </si>
  <si>
    <t xml:space="preserve">Ceftriaxone </t>
  </si>
  <si>
    <t xml:space="preserve">Cefdinir </t>
  </si>
  <si>
    <t xml:space="preserve">Amoxicillin </t>
  </si>
  <si>
    <t xml:space="preserve">Amoxicillin–clavulanate </t>
  </si>
  <si>
    <t>Antibiotics should be prescribed in children with severe, worsening, or persistent acute bacterial sinusitis. Ceftriaxone should be administered to children who are vomiting or who cannot take oral medications. Either amoxicillin or amoxicillin–clavulanate can be used as the first-line treatment in patients who are not vomiting. Children with hypersensitivity to penicillin can be treated with cefdinir.</t>
  </si>
  <si>
    <t>The nurse is caring for a child with hemarthrosis. Which of the following is the priority nursing intervention to prevent permanent joint dysfunction?</t>
  </si>
  <si>
    <t>Elevate and immobilize the affected joint</t>
  </si>
  <si>
    <t>Initiate active and passive range-of-motion exercises</t>
  </si>
  <si>
    <t>Administer aspirin to relieve pain and inflammation</t>
  </si>
  <si>
    <t>Apply hot packs to the affected joint</t>
  </si>
  <si>
    <t xml:space="preserve">Hemarthrosis is bleeding into a joint. It causes monoarticular joint pain and swelling. To help prevent permanent joint dysfunction, the nurse should elevate and immobilize the affected joint, as well as apply ice, to decrease the bleeding. Range-of-motion exercises are contraindicated because they may increase the bleeding. Hot packs will also serve to increase circulation and bleeding. Aspirin should not be administered because it will decrease clotting. </t>
  </si>
  <si>
    <t xml:space="preserve">A child has been admitted for a vaso-occlusive crisis (VOC). The nurse anticipates that the provider will order: </t>
  </si>
  <si>
    <t>Complete blood count and intravenous (IV) fluids</t>
  </si>
  <si>
    <t>IV antibiotics and oxygen</t>
  </si>
  <si>
    <t xml:space="preserve">Platelet transfusion </t>
  </si>
  <si>
    <t>IV pain medications and IV fluids</t>
  </si>
  <si>
    <t>VOC is a common complication of sickle cell disease in adolescents that is caused by the aggregation of sickled cells within a vessel. Patients will present with acute episodes of severe pain. The treatment plan typically includes pain management and adequate hydration; therefore, the nurse will prepare to administer IV pain medications and IV fluids. Since VOC is not an infection, there is no need for a complete blood count, IV antibiotics, or oxygen. Platelet transfusion is not an appropriate intervention for VOC.</t>
  </si>
  <si>
    <t xml:space="preserve">The nurse is caring for a 9-month-old patient diagnosed with beta-thalassemia major. The child is receiving chelation therapy to manage iron overload. The nurse understands that potential side effects of deferoxamine include: </t>
  </si>
  <si>
    <t>Cardiac complications with rapid intravenous (IV) infusion</t>
  </si>
  <si>
    <t>Tea-colored urine and cyanosis</t>
  </si>
  <si>
    <t>Erythema and skin flushing</t>
  </si>
  <si>
    <t>Hypertension with rapid IV infusion</t>
  </si>
  <si>
    <t>Deferoxamine is an iron-chelating agent used to treat iron overload in children at least 3 years old. Side effects of deferoxamine include erythema and skin flushing, blurred vision, diarrhea, nausea, and reddish-colored urine. Hypotension (not hypertension or cardiac complications) may occur with rapid IV infusion. Cyanosis is not a side effect of deferoxamine.</t>
  </si>
  <si>
    <t>A 4-year-old patient presents to the clinic with sore throat, fever, and leg pain. Labs are drawn with the following results: Platelets 100,000/mcL, white blood cell count (WBC) 30,000/mcL, and hemoglobin (Hgb) 7g/dL. Which of the following statements about the lab results is correct?</t>
  </si>
  <si>
    <t>The blood work is within normal limits.</t>
  </si>
  <si>
    <t>Hgb is decreased; platelets and WBC are normal</t>
  </si>
  <si>
    <t>Platelets and WBC are elevated; Hgb is slightly decreased</t>
  </si>
  <si>
    <t>Platelets and Hgb are decreased; WBC is elevated</t>
  </si>
  <si>
    <t>The patient's blood work shows that the platelet count is decreased, the Hgb is decreased, and the WBC is elevated. Normal values for platelet count are 150,000 to 400,000/mcL, normal values for WBC are 4,500 to 10,000/mcL, and normal values for Hgb are 12 to 16 g/dL.</t>
  </si>
  <si>
    <t xml:space="preserve">A 16-year-old admitted for Hodgkin lymphoma asks the nurse how it differs from non-Hodgkin lymphoma. The nurse's BEST response is: </t>
  </si>
  <si>
    <t>“The symptoms are different for each condition.”</t>
  </si>
  <si>
    <t>“Hodgkin lymphoma is more aggressive than non-Hodgkin
lymphoma."</t>
  </si>
  <si>
    <t>"The diseases have the same course but are caused by different cell types.”</t>
  </si>
  <si>
    <t>“The cell types identified in the biopsy are different.”</t>
  </si>
  <si>
    <t xml:space="preserve">Reed-Sternberg cells are present in Hodgkin lymphoma, whereas non-Hodgkin lymphoma is caused by T and B cell abnormalities. While the conditions involve different cell types, there is overlap in symptoms such as fever, weight loss, and lymph node involvement. The two diseases do not have the same course; non-Hodgkin lymphoma is more aggressive in its progression, as well as diffuse and disseminated. </t>
  </si>
  <si>
    <t>A 5-year-old female patient is brought into the clinic for a routine examination. Her parent notes that she has been irritable and that "her belly seems distended." After a history and physical examination, blood work is ordered. Findings indicate anemia and thrombocytopenia. The child is admitted with suspected neuroblastoma. Which of the following is the INITIAL test used to diagnose neuroblastoma?</t>
  </si>
  <si>
    <t>Radiolabeled scanning with metaoidobenzylguanidine (MIBG)</t>
  </si>
  <si>
    <t>Bone marrow aspiration and biopsy</t>
  </si>
  <si>
    <t>Biopsy of tumor cells and tests for increased serum catecholamines</t>
  </si>
  <si>
    <t>Lumbar puncture</t>
  </si>
  <si>
    <t>Biopsy of the tumor tissue and laboratory evaluation of catecholamines are the first tests used to diagnose a neuroblastoma. Radiolabeled scanning with MIBG and bone marrow aspiration and biopsy would be performed to determine the extent of the disease, but they are not used for initial diagnosis. Lumbar puncture would not be used for diagnosis or staging.</t>
  </si>
  <si>
    <t>After administration of morphine, a child complains of itchiness. Vital signs are as follows: Temperature 101°F (38.33°C), heart rate 90 beats/min, respiratory rate 38 breaths/min, blood pressure 88/58 mmHg. Pain rating is 2 on the FACES pain scale. Which of the following is the MOST accurate statement?</t>
  </si>
  <si>
    <t>Morphine has been ineffective, and a higher dose is warranted.</t>
  </si>
  <si>
    <t>The patient is experiencing an adverse reaction to morphine.</t>
  </si>
  <si>
    <t>The patient is experiencing a typical side effect of morphine.</t>
  </si>
  <si>
    <t>The patient is experiencing an allergic reaction to morphine.</t>
  </si>
  <si>
    <t>Itching is a common side effect of morphine and is not an allergic or adverse reaction. A rating of 2 on the FACES pain scale indicates that pain management has been achieved; a higher dose of morphine is not required.</t>
  </si>
  <si>
    <t>The nurse suspects that a child is experiencing respiratory distress secondary to opioid administration. The nurse's best INITIAL action is to:</t>
  </si>
  <si>
    <t>Administer naloxone</t>
  </si>
  <si>
    <t>Monitor ventilation via a pulse oximeter</t>
  </si>
  <si>
    <t>Cancel the next scheduled dosage of oxycodone</t>
  </si>
  <si>
    <t>Administer oxygen via a nasal cannula</t>
  </si>
  <si>
    <t>When there is suspicion of respiratory distress secondary to opioid administration, the nurse should immediately administer naloxone to reverse the adverse effects of oxycodone. Oxygen may be required, but it would not be administered until after the naloxone has been administered. While the nurse should cancel the next scheduled dosage of oxycodone, it would not be the first action. A pulse oximeter measures oxygenation, not ventilation.</t>
  </si>
  <si>
    <t>The nurse advises the parent of a 4-week-old patient with a nasolacrimal duct obstruction that they should:</t>
  </si>
  <si>
    <t>Gently massage the eye three times a day</t>
  </si>
  <si>
    <t>Give antibiotic eye drops three times a day</t>
  </si>
  <si>
    <t>Schedule surgical relief of the obstruction</t>
  </si>
  <si>
    <t>Continue to monitor until the next visit</t>
  </si>
  <si>
    <t>There are no apparent risk factors for the development of nasolacrimal duct obstruction; it is a common disorder of infancy. Almost 90% of cases will spontaneously resolve by age 6 months. Most will be given a watchful waiting approach. Massage may be prescribed, but it would be massage of the duct area, not the eye. Antibiotic ointment or drops would be prescribed only if a secondary bacterial infection were noted. A probe would be used to relieve the obstruction only if the obstruction were not resolved by 12 months.</t>
  </si>
  <si>
    <t>Which of the following is the MOST accurate statement regarding the use of patient-controlled analgesia in children?</t>
  </si>
  <si>
    <t>Programming an incorrect lower concentration of the analgesic can cause an overdose.</t>
  </si>
  <si>
    <t>The child has the ability to control the basal infusion of the narcotic.</t>
  </si>
  <si>
    <t>The child should not press the pump frequently because it may cause an overdose.</t>
  </si>
  <si>
    <t>Both the parents and the child should operate the pump as needed.</t>
  </si>
  <si>
    <t>When there is an incorrect concentration programmed into the pump, there is a chance for an overdose. Patient-controlled analgesia should be used only in children who have the cognitive ability to understand the cause and effect of pushing the patient-controlled analgesia button, which typically occurs at age 7 years or older. The child does not have the ability to control the basal infusion of the narcotic; it is administered with a continuous infusion by the nurse. Only the child should assume responsibility for identification and control of pain via the patient-controlled analgesia device.</t>
  </si>
  <si>
    <t>An 8-week-old patient was admitted to the pediatric unit 2 days ago with a diagnosis of “rule out sepsis.” The nurse is about to draw daily bloodwork but knows that the procedure will cause the infant distress. The nurse will:</t>
  </si>
  <si>
    <t>Administer cold packs after the procedure</t>
  </si>
  <si>
    <t>Administer concentrated sucrose 2 to 3 minutes before the procedure</t>
  </si>
  <si>
    <t>Swaddle the infant throughout the procedure</t>
  </si>
  <si>
    <t>Apply EMLA cream immediately before the procedure</t>
  </si>
  <si>
    <t>To help decrease pain, the nurse should give the infant concentrated sucrose 2 to 3 minutes before the procedure. Application of eutectic mixture of local anesthetics (EMLA) cream immediately before the procedure will not provide pain relief. It should be applied at least 1 hour prior to the procedure for effectiveness. The pain is likely to be short-lived and occur during the procedure, so there is no need to administer cold packs after the procedure. There is no evidence to suggest that swaddling decreases pain during this procedure.</t>
  </si>
  <si>
    <t>The therapist is evaluating a 5-year-old patient who has experienced multiple invasive and painful procedures over the past month. To enable the child to deal with their feelings regarding prolonged pain, the therapist will:</t>
  </si>
  <si>
    <t>Play simple card games with the child</t>
  </si>
  <si>
    <t>Show the child age-appropriate videos about hospitalization</t>
  </si>
  <si>
    <t xml:space="preserve">Encourage the child to play games on a tablet or phone </t>
  </si>
  <si>
    <t>Encourage the child to play with puppets</t>
  </si>
  <si>
    <t xml:space="preserve">To enable the child to deal with their feelings regarding prolonged pain, the therapist will encourage the child to play with puppets. Playing with puppets is a projective technique to help preschool-aged children deal with fears and anxieties. Watching videos and playing games on a tablet or phone are passive activities that do not encourage expression of feelings. While card games will create a diversion for the child, they will not alleviate fears or anxieties. </t>
  </si>
  <si>
    <t>The nurse is caring for a newborn who was diagnosed with talipes equinovarus immediately after birth. The PRIORITY education that the nurse will provide to the parents concerns:</t>
  </si>
  <si>
    <t>Exercises</t>
  </si>
  <si>
    <t>Application of a brace</t>
  </si>
  <si>
    <t>Surgical correction</t>
  </si>
  <si>
    <t>Serial casting</t>
  </si>
  <si>
    <t>Talipes equinovarus, or clubfoot, is a common foot abnormality in which the foot points downward and inward. The condition is present at birth. The nurse should prioritize providing the parents with education about serial casting, which will be applied to prevent the deformity from becoming permanent. Braces are not applied in newborns, and surgery is considered only in extreme cases. Although the nurse may later offer education on exercises, they will not correct talipes equinovarus on their own.</t>
  </si>
  <si>
    <t xml:space="preserve">The nurse is caring for a child post tonsillectomy. To decrease postoperative bleeding, the nurse will: </t>
  </si>
  <si>
    <t>Instruct the patient to lie flat in the bed</t>
  </si>
  <si>
    <t>Ask the patient to gargle with salt water</t>
  </si>
  <si>
    <t>Instruct the patient to drink liquids through a straw</t>
  </si>
  <si>
    <t>Apply an ice collar to the patient’s throat</t>
  </si>
  <si>
    <t>Applying an ice collar to the patient’s throat and neck promotes vasoconstriction, which reduces inflammation and pain and helps to reduce the risk of postoperative bleeding. The nurse should prevent the patient from inserting straws and other potentially sharp or harmful objects into their mouth because they could cause bleeding. Likewise, coughing, gargling, or otherwise straining the throat area could increase the risk for bleeding. The patient should be placed on their side or in the semi-Fowler position to promote drainage of oral secretions. Lying flat and supine in bed postoperatively could cause the patient’s stomach to become uneasy and in turn cause the patient to vomit, which could lead to bleeding and aspiration.</t>
  </si>
  <si>
    <t>A patient has arrived at the clinic. Their parents report that the child recently received a tick bite. There is a rash around the bite with focal erythema at the center and expansion of about 6 inches. This is a potential sign of:</t>
  </si>
  <si>
    <t>Relapsing fever</t>
  </si>
  <si>
    <t>Rocky Mountain spotted fever</t>
  </si>
  <si>
    <t>Lyme disease</t>
  </si>
  <si>
    <t>Helvetica spotted fever</t>
  </si>
  <si>
    <t>This patient presents with a characteristic Lyme disease bull's-eye rash. This rash will typically appear 1 to 4 weeks after the tick bite and will often be painless. The rash from Rocky Mountain spotted fever can vary from person to person. Helvetica spotted fever presents with respiratory symptoms. Relapsing fever presents with recurrent episodes of high fever, diffuse rash, and painful urination.</t>
  </si>
  <si>
    <t>An adolescent patient is en route via emergency medical services after being found submerged in a swimming pool for approximately 2 minutes. The patient was initially in cardiac arrest, but return of spontaneous circulation has been achieved. The patient is intubated, but oxygen saturation remains in the low 80s despite oxygenation. The nurse recognizes that the likely cause is:</t>
  </si>
  <si>
    <t xml:space="preserve">
Rapid onset of pneumonia</t>
  </si>
  <si>
    <t>Pulmonary injury due to aspiration and shunting</t>
  </si>
  <si>
    <t>Increased intra-abdominal pressure</t>
  </si>
  <si>
    <t>Individuals who are submerged typically hyperventilate and inhale a large amount of fluid. This leads to lung injury that can cause blood to shunt away from the alveoli, worsening hypoxia and injury. Pneumonia is a high risk with submersion injury, but it takes time to develop. There is no indication of increased intra-abdominal pressure. Cerebral injury is likely in submersion injury, but it would not cause difficulty ventilating via an advanced airway.</t>
  </si>
  <si>
    <t>Which of the following statements by an adolescent patient diagnosed with mononucleosis indicates the need for additional discharge instructions?</t>
  </si>
  <si>
    <t xml:space="preserve">
“I can gargle with warm salt water to help the throat pain.”</t>
  </si>
  <si>
    <t>“I should expect to bruise easily while I am recovering.”</t>
  </si>
  <si>
    <t>“I will not share any food or drink with anyone else.”</t>
  </si>
  <si>
    <t>“I will rest as much as possible.”</t>
  </si>
  <si>
    <t>Mononucleosis can cause an enlarged spleen. The patient should be instructed to report any unusual symptoms such as unexplained bleeding or excessive bruising that would indicate that complications have occurred. Knowing not to share food and drink is essential to prevent spreading the disease to others. Rest is an important part of the treatment for mononucleosis. Gargling with warm salt water is appropriate to ease throat pain.</t>
  </si>
  <si>
    <t>The nurse triages a 8-year-old patient who is being treated for leukemia and has a fever. What should the nurse do FIRST?</t>
  </si>
  <si>
    <t>Obtain blood cultures</t>
  </si>
  <si>
    <t>Start an intravenous infusion</t>
  </si>
  <si>
    <t>Administer acetaminophen</t>
  </si>
  <si>
    <t>Place the patient in a private treatment room</t>
  </si>
  <si>
    <t>A child with leukemia is immunosuppressed and at high risk of contracting an illness. The child should be placed in isolation as soon as possible. Administering acetaminophen, obtaining blood cultures, and starting an intravenous infusion are all important interventions, but they are not the initial priority.</t>
  </si>
  <si>
    <t>A 16-year-old patient struck their head while attempting to dive into a pond. Emergency medical services reports that the patient lost consciousness following the accident. After the patient's return from radiology, the nurse assesses the patient as having a Glasgow Coma Scale score of 7. The nurse should FIRST:</t>
  </si>
  <si>
    <t>Call for help and prepare for intubation</t>
  </si>
  <si>
    <t>Call for help and prepare a dose of 3% hypertonic saline</t>
  </si>
  <si>
    <t>Turn the patient on the left side and place in the recovery position</t>
  </si>
  <si>
    <t>Apply the defibrillator and prepare for transcutaneous pacing</t>
  </si>
  <si>
    <t>A patient with a Glasgow Coma Scale score of less than 8 meets the criteria for airway management and intubation. The next steps would entail management of the patient's head trauma, possibly including use of hypertonic saline to decrease intercranial pressure. Placing the patient in the recovery position and preparing for transcutaneous pacing are not indicated in this situation.</t>
  </si>
  <si>
    <t>While performing a neurological exam, the nurse asks the adolescent patient to shrug their shoulders. Which cranial nerve is being assessed?</t>
  </si>
  <si>
    <t>IX</t>
  </si>
  <si>
    <t>XI</t>
  </si>
  <si>
    <t>II</t>
  </si>
  <si>
    <t>Cranial nerve XI (spinal accessory) is assessed by having the patient shrug their shoulders. Cranial nerve II (optic) is tested by having the patient read printed material. Cranial nerve V (trigeminal) is checked by having the patient simulate chewing. Cranial nerve IX (glossopharyngeal) is tested by checking the patient’s ability to swallow.</t>
  </si>
  <si>
    <t>What is the BEST response to an adult who brings their niece into the ED after the child has fallen off a bike?</t>
  </si>
  <si>
    <t>“After I finish triaging your niece, the provider will examine her to assess her condition.”</t>
  </si>
  <si>
    <t>“I’m sorry, but we need to contact the child’s parents before we can treat her.”</t>
  </si>
  <si>
    <t>“Any patient who is younger than 18 years must be accompanied by their parents.”</t>
  </si>
  <si>
    <t>“I'm sorry, but we will need to verify your niece's insurance before she is triaged.”</t>
  </si>
  <si>
    <t>All patients who present to an ED for treatment must receive a medical screening exam by a qualified provider. The patient’s parents should be contacted, but the medical screening exam cannot be delayed to do this. Insurance information must be collected after the examination. Anyone who presents to the ED receives a medical screening exam, regardless of age.</t>
  </si>
  <si>
    <t>What distinguishes major depression from normal sadness or a grief reaction?</t>
  </si>
  <si>
    <t>Decreased ability to concentrate</t>
  </si>
  <si>
    <t>Difficulty sleeping at night</t>
  </si>
  <si>
    <t>Feelings of guilt</t>
  </si>
  <si>
    <t>Daily symptoms over a long period</t>
  </si>
  <si>
    <t>Sadness and grief reactions share many of the characteristics of major depression, including insomnia, poor concentration, and guilt. The critical difference is the duration and pervasiveness or severity of the symptoms. Patients who are depressed experience these symptoms daily over a longer period of time.</t>
  </si>
  <si>
    <t>A 6-year-old patient with a severe acute asthma exacerbation has received hand-held nebulizer treatments and corticosteroids but has not shown much improvement. What medication should the nurse anticipate administering next?</t>
  </si>
  <si>
    <t>Broad-spectrum antibiotic</t>
  </si>
  <si>
    <t>Famotidine</t>
  </si>
  <si>
    <t>Magnesium sulfate</t>
  </si>
  <si>
    <t>Propranolol</t>
  </si>
  <si>
    <t>Magnesium sulfate relaxes the bronchial smooth muscles, opening up the lungs for better air movement. Antibiotics are prescribed for infections. Famotidine is a histamine blocker administered for allergic reactions. Propranolol is a beta-blocker that is contraindicated for asthma patients because it causes bronchoconstriction.</t>
  </si>
  <si>
    <t>Which of the following are cardinal signs and symptoms of cardiovascular issues?</t>
  </si>
  <si>
    <t>Fatigue, frequent dyspnea, uncoordinated suck-swallow-breathe pattern</t>
  </si>
  <si>
    <t>Frequent dyspnea, fatigue, tachypnea</t>
  </si>
  <si>
    <t>Uncoordinated suck-swallow-breathe pattern, frequent dyspnea, tachypnea</t>
  </si>
  <si>
    <t>Fatigue, tachypnea, uncoordinated suck-swallow-breathe pattern</t>
  </si>
  <si>
    <t>Cardinal signs and symptoms of cardiovascular issues include feeding problems (e.g., fatigue or diaphoresis during feedings, poor weight gain), respiratory difficulties (e.g., tachypnea, dyspnea, cyanosis), and chronic fatigue or exercise intolerance. Uncoordinated suck-swallow-breathe patterns are a classic feeding issue for premature infants.</t>
  </si>
  <si>
    <t>Thorough irrigation of deep abrasions to remove debris is essential to prevent which complication?</t>
  </si>
  <si>
    <t xml:space="preserve">
Continued bleeding</t>
  </si>
  <si>
    <t>Tattooing</t>
  </si>
  <si>
    <t>Bruising</t>
  </si>
  <si>
    <t>Ongoing pain</t>
  </si>
  <si>
    <t>Tattooing occurs when foreign bodies such as gravel or asphalt are not cleared from the wound at the time of treatment. Irrigation does not help control bleeding, nor does it lessen ongoing pain. Wound irrigation does not prevent bruising.</t>
  </si>
  <si>
    <t>Which of the following puncture wounds has the highest risk of infection?</t>
  </si>
  <si>
    <t>Piece of glass in the arm</t>
  </si>
  <si>
    <t>Nail in the thumb</t>
  </si>
  <si>
    <t>Metal sliver in the hand</t>
  </si>
  <si>
    <t>Piece of wood in the leg</t>
  </si>
  <si>
    <t>Wounds containing organic materials such as wood are more likely to become infected because these types of materials trigger a more significant inflammatory response. A nail, a piece of glass, and a metal sliver are all inert objects that do not typically cause much inflammatory response.</t>
  </si>
  <si>
    <t>When treating an adolescent patient experiencing alcohol withdrawal, how will the nurse evaluate the effectiveness of the initial treatment?</t>
  </si>
  <si>
    <t>The patient's systolic blood pressure rises above 140 mmHg.</t>
  </si>
  <si>
    <t>The patient’s heart rate stays above 100 beats/min.</t>
  </si>
  <si>
    <t>The patient does not experience a seizure.</t>
  </si>
  <si>
    <t>The patient’s blood alcohol level reaches zero.</t>
  </si>
  <si>
    <t>Patients going through alcohol withdrawal are at risk of developing seizures. The patient’s blood alcohol level drops gradually over time, and it is not always realistic to expect the level to reach zero before the patient is discharged or admitted. Alcohol withdrawal causes tachycardia; if the heart rate is still elevated, additional treatment is needed. Likewise, withdrawal causes elevated blood pressure and indicates that further treatment is needed.</t>
  </si>
  <si>
    <t>A 15-year-old patient arrives at the ED reporting intentional ingestion of 100 tablets of acetaminophen. The nurse should expect to:</t>
  </si>
  <si>
    <t>Place a nasogastric tube and lavage with sterile water</t>
  </si>
  <si>
    <t>Administer N-acetylcysteine (acetate)</t>
  </si>
  <si>
    <t>Administer an adult dose of activated charcoal</t>
  </si>
  <si>
    <t>Place the patient in the low-acuity section for monitoring</t>
  </si>
  <si>
    <t>N-acetylcysteine protects the liver in acetaminophen overdose by restoring hepatic glutathione. Gastric lavage is no longer recommended for gastrointestinal decontamination, and activated charcoal is not an appropriate therapy. The patient would be considered high acuity, not low acuity, due to the risk for liver toxicity and cardiac dysrhythmia.</t>
  </si>
  <si>
    <t>Which of the following pathogens is responsible for rheumatic fever?</t>
  </si>
  <si>
    <t>Streptococcus</t>
  </si>
  <si>
    <t>Clostridium difficile</t>
  </si>
  <si>
    <t>Staphylococcus</t>
  </si>
  <si>
    <r>
      <rPr>
        <sz val="11"/>
        <color rgb="FF000000"/>
        <rFont val="Calibri"/>
        <family val="2"/>
        <scheme val="minor"/>
      </rPr>
      <t xml:space="preserve">Acute rheumatic fever is a complication that occurs as a delayed sequela (usually after 2 to 3 weeks) of group A streptococcal pharyngitis. </t>
    </r>
    <r>
      <rPr>
        <i/>
        <sz val="11"/>
        <color rgb="FF000000"/>
        <rFont val="Calibri"/>
        <family val="2"/>
        <scheme val="minor"/>
      </rPr>
      <t xml:space="preserve">Clostridium difficile </t>
    </r>
    <r>
      <rPr>
        <sz val="11"/>
        <color rgb="FF000000"/>
        <rFont val="Calibri"/>
        <family val="2"/>
        <scheme val="minor"/>
      </rPr>
      <t>is associated with infections of the intestines, salmonella is food-borne bacteria that causes gastrointestinal dysfunction, and staphylococcus is typically linked to skin infections.</t>
    </r>
  </si>
  <si>
    <t>The nurse is performing an assessment on a child who is receiving home-based hospice care. Which of the following may be a sign that the child is being abused?</t>
  </si>
  <si>
    <t>Stage 1 pressure ulcer on the heel</t>
  </si>
  <si>
    <t>Bruising on the thigh</t>
  </si>
  <si>
    <t>Stained clothing</t>
  </si>
  <si>
    <t>Lack of medical equipment</t>
  </si>
  <si>
    <t>Patients who receive home-based care may sometimes be abused by their caregivers. The nurse should monitor for signs of abuse, including bruising in unusual places, evidence of sexual abuse, preventable pressure ulcers, dehydration, malnutrition, unexplained fractures, burns, or inattention to hygiene. Bruising on the thigh may be a sign of abuse and should be investigated further. A stage 1 pressure ulcer on the heel is not necessarily a sign of abuse. The nurse should assess the wound and provide appropriate treatment based on the patient's condition, prognosis, and potential for healing. In addition, the nurse should teach the caregiver about measures to prevent pressure ulcers. The ulcer and the status of preventive measures should be evaluated on follow-up visits. While inattention to hygiene can be a sign of abuse, stained clothing is not an indicator of abuse. Since the child is receiving hospice care, lack of medical equipment is expected and is not an indicator of abuse.</t>
  </si>
  <si>
    <t>The nurse documents that a hospice patient has cachexia. The patient has:</t>
  </si>
  <si>
    <t>Loss of appetite</t>
  </si>
  <si>
    <t>Temporal wasting</t>
  </si>
  <si>
    <t>Metabolic changes</t>
  </si>
  <si>
    <t>Dehydration</t>
  </si>
  <si>
    <t>Cachexia is the wasting of the body due to severe illness. It is manifested by metabolic changes, weight loss, fluid retention, and muscle wasting. Anorexia is loss of appetite that can occur from illness, emotional stress, or medications. Severe or prolonged anorexia can lead to cachexia, but these conditions can occur independently of each other. When these two conditions occur together, particularly at the end stage of a disease process, the condition is referred to as anorexia/cachexia syndrome.</t>
  </si>
  <si>
    <t xml:space="preserve">The nurse administers immediate-release morphine to a child receiving palliative care. Approximately 1 hour after administration, the nurse should assess: </t>
  </si>
  <si>
    <t>Level of consciousness</t>
  </si>
  <si>
    <t>Bowel sounds</t>
  </si>
  <si>
    <t>Pain level</t>
  </si>
  <si>
    <t>Respiratory rate</t>
  </si>
  <si>
    <t>Immediate-release morphine is administered for pain. Pain should be assessed prior to the intervention and then approximately 1 hour after the intervention. All assessments and interventions should be carefully documented in the patient’s chart.</t>
  </si>
  <si>
    <t>Which of the following is a congenital heart defect that increases pulmonary blood flow?</t>
  </si>
  <si>
    <t>Aortic stenosis</t>
  </si>
  <si>
    <t>Transposition of the great arteries</t>
  </si>
  <si>
    <t>An atrial septal defect is an opening between the left and right atria that allows blood to flow from the left side of the heart to the right side, which results in ineffective pumping of the heart and increases the risk of heart failure. In aortic stenosis, narrowing or fusion of the aortic valve interferes with left ventricular outflow to the aorta. This causes left ventricular hypertrophy, which can lead to pulmonary venous and arterial hypertension. In pulmonic stenosis, a narrowing or fusing of pulmonic valve leaflets at the entrance of the pulmonary artery interferes with right ventricular outflow to the lungs, decreasing blood flow to the lungs. In transposition of the great arteries, the aorta rises from the right ventricle and the pulmonary artery rises from the left ventricle, which produces two noncommunicating circulatory systems.</t>
  </si>
  <si>
    <t>A hospice patient who is experiencing uncontrolled pain should receive which level of care?</t>
  </si>
  <si>
    <t>General inpatient</t>
  </si>
  <si>
    <t>Routine home</t>
  </si>
  <si>
    <t>Inpatient respite</t>
  </si>
  <si>
    <t>Continuous home</t>
  </si>
  <si>
    <t>Hospice care involves four levels of care. The appropriate level of care is determined through conversations between the patient, the patient’s family, and the interdisciplinary team. Continuous home care is provided in the patient’s home, predominantly by nurses, but also by hospice nurses’ aides. The goal of continuous home care is to provide support to patients and families during a short-term crisis, such as an uncontrolled pain crisis. Routine home care is provided in the patient’s home. Visits from the healthcare and hospice team are scheduled regularly as indicated by the patient’s needs. Inpatient respite care may be provided in an approved facility for a short period of time to allow respite for caregivers. General inpatient care takes place in an inpatient facility with the goal of controlling acute or chronic symptoms.</t>
  </si>
  <si>
    <t xml:space="preserve">A palliative care patient is experiencing nausea and vomiting related to chemotherapy treatment. The MOST appropriate pharmacologic intervention is: </t>
  </si>
  <si>
    <t>Dronabinol</t>
  </si>
  <si>
    <t>Ondansetron</t>
  </si>
  <si>
    <t>Scopolamine</t>
  </si>
  <si>
    <t>Octreotide</t>
  </si>
  <si>
    <t>Ondansetron is indicated for preventing chemotherapy-induced nausea and vomiting. Dronabinol can be used if other treatments fail. Scopolamine is not indicated for nausea caused by chemotherapy treatments. Octreotide is recommended for nausea and vomiting associated with bowel obstruction.</t>
  </si>
  <si>
    <t>A 16-year-old patient has a history of heavy bleeding with menstrual cycles and is experiencing iron deficiency. The nurse will encourage the patient to increase consumption of:</t>
  </si>
  <si>
    <t>Seafood and orange and yellow vegetables</t>
  </si>
  <si>
    <t>Beans and dairy products</t>
  </si>
  <si>
    <t>Ground turkey and sweet potatoes</t>
  </si>
  <si>
    <t>Peanut butter and bananas</t>
  </si>
  <si>
    <t xml:space="preserve">Ground turkey and sweet potatoes are iron-rich foods. Other iron-rich vegetables include dark leafy greens, broccoli, brussels sprouts, and cabbage. Iron-rich fruits include strawberries, watermelon, dried apricots and peaches, figs, and prunes. Seafood and beans are high in iron; however, orange and yellow vegetables, dairy, peanut butter, and bananas are not. </t>
  </si>
  <si>
    <t>Which of the following is the MOST accurate statement about breastfeeding?</t>
  </si>
  <si>
    <t>Breastfed infants should begin solid foods by age 4 months.</t>
  </si>
  <si>
    <t>Human milk fortifiers can be used in term neonates.</t>
  </si>
  <si>
    <t>Breastfed infants are better able to maintain normal body
temperature.</t>
  </si>
  <si>
    <t>If neonates cannot maintain breastfeeding, bottle feeding should be started.</t>
  </si>
  <si>
    <t>Breastfed infants have a stronger ability to maintain their temperature and oxygen levels. Solid food should not be introduced until age 6 months. Human milk fortifiers should be used only in neonates weighing less than 1,800 grams; therefore, they are not appropriate for term neonates. If neonates cannot maintain breastfeeding, bottle feeding should not be started. Instead, the next step is additional support from a lactation counselor.</t>
  </si>
  <si>
    <t>The nurse is preparing to perform a blood culture on a hospitalized toddler. The nurse's BEST action is to:</t>
  </si>
  <si>
    <t>Tell the child what they will experience well in advance of the procedure</t>
  </si>
  <si>
    <t>Ask the child which arm they would like the nurse to use</t>
  </si>
  <si>
    <t>Provide the child with brief explanations as the procedure is being completed</t>
  </si>
  <si>
    <t>Perform the procedure in the child's room to decrease anxiety</t>
  </si>
  <si>
    <t>The best action is to provide the child with brief explanations as the procedure is being completed. A toddler's cognitive skills will not enable them to understand or retain the information if it is told to them in advance of the procedure. Although fostering a sense of autonomy is important, the nurse should not provide the patient with choices related to painful procedures, particularly given the child's age and cognitive skills. The procedure should not be performed in the child's room, which should be a safe space for the child that is free from invasive treatments.</t>
  </si>
  <si>
    <t>The nurse administers an intramuscular injection to a 4-year-old patient. Although the injection site is not bleeding, the child asks for a Band-Aid. The nurse will:</t>
  </si>
  <si>
    <t xml:space="preserve">Show the child that there is no bleeding at the injection site </t>
  </si>
  <si>
    <t>Distract the child with a toy</t>
  </si>
  <si>
    <t>Explain that Band-Aids are not used for injections</t>
  </si>
  <si>
    <t>Apply a Band-Aid to the injection site</t>
  </si>
  <si>
    <t>The child is demonstrating a developmental concern for body integrity, which is common in this age group. To validate the child's developmental concern, the nurse should apply a Band-Aid to the site. Showing the child that the site is not bleeding, explaining that Band-Aids are not necessary after injections, or using a toy as a distractor would be ignoring the child's developmental concern.</t>
  </si>
  <si>
    <t>Which of the following are the MOST effective methods to diagnose pneumonia?</t>
  </si>
  <si>
    <t>Health assessment and sputum culture</t>
  </si>
  <si>
    <t>Incentive spirometry and pulmonary function test</t>
  </si>
  <si>
    <t>Chest radiograph and complete blood count</t>
  </si>
  <si>
    <t>Sputum culture and blood culture</t>
  </si>
  <si>
    <t xml:space="preserve">Chest radiograph and complete blood count are the most effective methods for diagnosing pneumonia. The radiograph is able to visualize the extent of pneumonia in the lungs, and the complete blood count assesses the white blood cell count for the infection. Incentive spirometry is used to break up fluid that builds up in the lungs due to pneumonia; it is not used to diagnose. Pulmonary function tests assess how well the lungs are working. A sputum culture can be used to help diagnose bacterial pneumonia, but it will not visualize the extent of pneumonia in the lungs or the severity of the infection. Blood cultures show poor sensitivity in pneumonia, so they are not an effective diagnostic tool. They may be required prior to the administration of antibiotics in patients admitted for pneumonia.  </t>
  </si>
  <si>
    <t>Which of the following findings is a late manifestation of hypovolemic shock?</t>
  </si>
  <si>
    <t>Hypotension</t>
  </si>
  <si>
    <t>Pallor</t>
  </si>
  <si>
    <t>Tachycardia</t>
  </si>
  <si>
    <t>Capillary refill &gt;3 seconds</t>
  </si>
  <si>
    <t>Hypovolemic shock is a condition in which rapid fluid loss results in multiple organ failure due to inadequate circulating volume and subsequent inadequate perfusion. Hypotension is a late sign of hypovolemic shock. Pallor, tachycardia, and capillary refill &gt;3 seconds are early signs that indicate compensatory efforts.</t>
  </si>
  <si>
    <t>Which group of children is MOST at risk of developing iron-deficiency anemia?</t>
  </si>
  <si>
    <t>Breastfed infants younger than 6 months</t>
  </si>
  <si>
    <t>Toddlers who attend daily daycare</t>
  </si>
  <si>
    <t>Infants and children age 6 months to 2 years</t>
  </si>
  <si>
    <t>School-age children who participate in a free-lunch program</t>
  </si>
  <si>
    <t>Infants and children from 6 months to 2 years of age have picky eating habits and are very active, so they are most at risk of developing iron-deficiency anemia. Breastfed infants younger than 6 months typically receive enough iron from their parent’s dietary intake. Toddlers who attend daily daycare and school-age children who participate in a free-lunch program are less at risk of developing iron-deficiency anemia because those programs may provide nutritious food for them.</t>
  </si>
  <si>
    <t>Which of the following terms describes an irregular heartbeat heard on auscultation?</t>
  </si>
  <si>
    <t>Structural disorder</t>
  </si>
  <si>
    <t>Tachydysrhythmia</t>
  </si>
  <si>
    <t>Bradyarrhythmia</t>
  </si>
  <si>
    <t>Conduction disturbance</t>
  </si>
  <si>
    <t xml:space="preserve">An irregular heartbeat heard on auscultation is a conduction disturbance, which is a heart rhythm issue that occurs when something blocks or impairs the electrical signals in the heart. A structural disorder is a problem with the structure of the heart (e.g., tissues, valves). These disorders can be congenital or caused by underlying disease. Tachydysrhythmia is a ventricular rate greater than 100 beats/min. Bradyarrhythmia is a heart rate of less than 60 beats/min.  </t>
  </si>
  <si>
    <t xml:space="preserve">During a well-child visit, the nurse would suspect hydrocephalus in an infant with which of the following assessment findings? </t>
  </si>
  <si>
    <t>Increase in head circumference</t>
  </si>
  <si>
    <t>Weight gain since last visit</t>
  </si>
  <si>
    <t>Narrow suture lines</t>
  </si>
  <si>
    <t>Sunken fontanel</t>
  </si>
  <si>
    <t xml:space="preserve">Hydrocephalus is the buildup of fluid in the cavities (ventricles) deep within the brain. It can happen at any age but is more common in infants. Common signs include a rapid increase in head circumference, an unusually large head, and a bulging fontanel (not a sunken fontanel, which is a sign of dehydration). Weight gain is not a sign of hydrocephalus, nor are narrow suture lines, which may be a sign of premature closure. </t>
  </si>
  <si>
    <t>Which of the following statements BEST describes the rationale for use of bone marrow aspiration and biopsy to diagnose acute lymphocytic leukemia (ALL)?</t>
  </si>
  <si>
    <t>It measures a small number of leukemic cells.</t>
  </si>
  <si>
    <t>It classifies French-American British (FAB) cell type.</t>
  </si>
  <si>
    <t>It provides information about DNA analysis.</t>
  </si>
  <si>
    <t xml:space="preserve">It tests for immature and abnormal blast cells. </t>
  </si>
  <si>
    <t>It tests for immature and abnormal blast cells.</t>
  </si>
  <si>
    <t>ALL is a cancer of the blood and bone marrow. It is the most common type of cancer in children. Bone marrow aspiration and biopsy is the definitive test for the diagnosis of ALL. It detects immature and abnormal blast cells, as well as hypercellular marrow. It does not provide information about DNA analysis or measure a small number of leukemic cells; that is done by the rapid flow cytometric assay test. Bone marrow aspiration does not classify FAB cell type.</t>
  </si>
  <si>
    <t>Which of the following is used to stage Hodgkin lymphoma?</t>
  </si>
  <si>
    <t>Radionuclide scan with gallium</t>
  </si>
  <si>
    <t>Biopsy of the spleen</t>
  </si>
  <si>
    <t>Presence of Reed-Sternberg cells</t>
  </si>
  <si>
    <t>Presence of small noncleaved cells</t>
  </si>
  <si>
    <t>Radionuclide scan with gallium is used to stage Hodgkin lymphoma because it identifies the extent of nodal involvement. A biopsy of the spleen will identify only involvement of the spleen, not the extent of the cancer. Small noncleaved cells are found in non-Hodgkin lymphoma, not Hodgkin lymphoma. Reed-Sternberg cells will be present on biopsy, but they do not help with staging.</t>
  </si>
  <si>
    <t>Which of the following is the MOST accurate statement regarding fentanyl administration?</t>
  </si>
  <si>
    <t>Typical use of fentanyl is for procedures that require a long-acting sedative.</t>
  </si>
  <si>
    <t>Fentanyl is contraindicated for use in pediatric patients.</t>
  </si>
  <si>
    <t>Rapid infusion of fentanyl may cause chest rigidity and bradycardia.</t>
  </si>
  <si>
    <t>Fentanyl is a barbiturate used to produce hypnosis.</t>
  </si>
  <si>
    <t>Fentanyl is a short-acting opioid that is safe for use in children. Fentanyl should be infused slowly because rapid infusion can cause chest rigidity and bradycardia.</t>
  </si>
  <si>
    <t>The nurse is assessing an infant with tachycardia, gallop heart rhythm, diaphoresis with feeding, and peripheral edema. The nurse suspects that the patient has:</t>
  </si>
  <si>
    <t>Rheumatic fever</t>
  </si>
  <si>
    <t>Kawasaki syndrome</t>
  </si>
  <si>
    <t>Toxic shock syndrome</t>
  </si>
  <si>
    <t>Tachycardia, gallop heart rhythm, diaphoresis with feeding, and peripheral edema are signs and symptoms of heart failure. Symptoms of rheumatic fever include rash, fever, joint inflammation, nodules under the skin, weight loss, and fatigue. Symptoms of Kawasaki syndrome include fever, rash (severe in diaper area), and bloodshot eyes. Symptoms of toxic shock syndrome include fever, rapid drop in blood pressure, diarrhea, headache, rash, and muscle aches.</t>
  </si>
  <si>
    <t>A patient has been diagnosed with viral conjunctivitis. The patient’s parent asks the nurse when the patient can return to school. Which of the following is the nurse's BEST response?</t>
  </si>
  <si>
    <t>Tomorrow</t>
  </si>
  <si>
    <t>When symptoms lessen</t>
  </si>
  <si>
    <t>When symptoms are no longer present</t>
  </si>
  <si>
    <t>24 to 48 hours after the start of topical antibiotics</t>
  </si>
  <si>
    <t>A patient with viral conjunctivitis may return to school or daycare when symptoms lessen. If the child had bacterial conjunctivitis, the nurse would have advised a return to school when mucopurulent drainage was no longer present. This usually occurs 24 to 48 hours after topical antibiotics are started. "Tomorrow” is not an appropriate response because it does not give the parent enough information, nor is it a symptom-based response. Since the patient has viral conjunctivitis, they do not need to wait until symptoms are no longer present.</t>
  </si>
  <si>
    <t>Which of the following is the PRIORITY postoperative assessment for a 5-year-old patient recovering from a tonsillectomy?</t>
  </si>
  <si>
    <t>Pain assessment</t>
  </si>
  <si>
    <t>Nutritional assessment</t>
  </si>
  <si>
    <t>Throat assessment for fresh blood</t>
  </si>
  <si>
    <t>Respiratory rate and breathing patterns assessment</t>
  </si>
  <si>
    <t>Airway management is always most crucial in patients post tonsillectomy. The child should be positioned on their side in the semi-Fowler position to promote drainage of oral secretions and minimize inflammation. The priority assessment is respiratory rate and breathing patterns, and any alterations should be reported immediately. Risk of bleeding is important and should also be monitored and assessed on a regular basis postoperatively and then for 1 week. The patient may have some pain with the procedure that can be assessed and managed with medication. The patient should start with clear fluids once awake and alert.</t>
  </si>
  <si>
    <t>A child is placed in Bryant traction to correct congenital hip dysplasia. Which of the following interventions is MOST appropriate?</t>
  </si>
  <si>
    <t>Remove the weights frequently to allow for ambulation</t>
  </si>
  <si>
    <t>Keep the child’s buttocks slightly elevated off the bed</t>
  </si>
  <si>
    <t>Cleanse the pins every shift to prevent infection</t>
  </si>
  <si>
    <t>Place the weights on the bed to prevent interference</t>
  </si>
  <si>
    <t>The child’s buttocks should be kept slightly elevated off the bed to provide counter-traction. Weights should be removed as ordered but not frequently. It is important not to lose the correction that has been achieved. Weights should not be placed on the bed to prevent interference. They must be free-swinging to maintain a constant pull. Bryant traction is a form of skin traction, so there are no pins.</t>
  </si>
  <si>
    <t>The nurse is performing a vision assessment on a 12-year-old patient. Which of the following is the MOST appropriate technique?</t>
  </si>
  <si>
    <t>Use an ophthalmoscope to assess for the red reflex</t>
  </si>
  <si>
    <t>Instruct the patient to cover one eye and read from a vision chart</t>
  </si>
  <si>
    <t>Instruct the patient to follow the nurse's finger in all quadrants</t>
  </si>
  <si>
    <t>Move a puppet away from and close to the patient’s field of vision</t>
  </si>
  <si>
    <t>Recognition visual-acuity testing is the gold standard in vision screening and the preferred method for assessing vision. After 3 to 5 years of age, subjective vision can be measured using eye charts. The most reliable method for assessing a 12-year-old patient's vision is to instruct the patient to cover one eye and read from a vision chart. Red reflex testing requires no patient participation, should be performed shortly after birth, and is the most important screening test for infants and young children. Fixation and tracking (moving a puppet away from and close to a child’s field of vision) is reliable for children age 6 weeks to 2 years. Following the nurse’s finger in all quadrants demonstrates peripheral vision.</t>
  </si>
  <si>
    <t xml:space="preserve">The nurse is examining a 15-month-old patient who has been admitted with a diagnosis of gastroenteritis. The child has had 10 loose stools and has not been able to tolerate liquids or solids. Auscultation of the abdomen reveals bowel sounds in all four quadrants that occur every 5 seconds, as well as the presence of stomach growling. The nurse documents the findings as: </t>
  </si>
  <si>
    <t xml:space="preserve">Hypoactive bowel sounds present </t>
  </si>
  <si>
    <t>Hyperactive bowel sounds with borborygmi</t>
  </si>
  <si>
    <t xml:space="preserve">Slight decrease in bowel sounds noted </t>
  </si>
  <si>
    <t xml:space="preserve">Normoactive bowel sounds present </t>
  </si>
  <si>
    <t xml:space="preserve">Hyperactive bowel sounds with borborygmi </t>
  </si>
  <si>
    <t>The nurse documents the bowel sounds as hyperactive bowel sounds with borborygmi, which are sounds that result from the movement of fluid and gas in the intestines. Normal bowel sounds in a toddler are heard every 10 to 30 seconds.</t>
  </si>
  <si>
    <t>Which of the following orders would be anticipated in the IMMEDIATE preoperative care of a child diagnosed with pyloric stenosis?</t>
  </si>
  <si>
    <t>Give the patient nothing by mouth</t>
  </si>
  <si>
    <t>Frequently burp the patient with feedings</t>
  </si>
  <si>
    <t>Give 50 mL of glucose water via nasogastric tube</t>
  </si>
  <si>
    <t>Elevate the head of the bed during feedings</t>
  </si>
  <si>
    <t>If a child is scheduled for surgery within the next 8 hours, all fluids and feedings should be held to prevent aspiration. Adequate hydration may be achieved by administration of intravenous fluids.</t>
  </si>
  <si>
    <t xml:space="preserve">What is the BEST indicator that an antibiotic has effectively resolved a urinary tract infection? </t>
  </si>
  <si>
    <t>Child is finally voiding normally.</t>
  </si>
  <si>
    <t>Course of antibiotics has been completed.</t>
  </si>
  <si>
    <t>Symptoms subside 24 to 48 hours after treatment begins.</t>
  </si>
  <si>
    <t>Urine culture is negative at the completion of therapy.</t>
  </si>
  <si>
    <t>The best indicator that an antibiotic has effectively resolved a urinary tract infection is a negative urine culture at the completion of treatment. Normal voiding, subsiding of symptoms, and completion of therapy do not  definitively confirm successful treatment on their own.</t>
  </si>
  <si>
    <t>A adolescent patient is admitted with nausea and vomiting, pain at McBurney point, and a white blood cell count (WBC) of 12,000/mcL. The nurse anticipates that the diagnosis to rule out is:</t>
  </si>
  <si>
    <t>Peritonitis</t>
  </si>
  <si>
    <t>Appendicitis</t>
  </si>
  <si>
    <t>Gastroenteritis</t>
  </si>
  <si>
    <t>Ulcerative colitis</t>
  </si>
  <si>
    <t xml:space="preserve">The typical presentation of appendicitis includes pain and guarding at McBurney’s point as well as nausea, vomiting, and a slight temperature elevation. WBC will be elevated in infections of the appendix (normal WBC is 4,500 to 10,000/mcL). Peritonitis is caused by a ruptured appendix and is characterized by a rigid abdomen, a significantly elevated temperature, and a significant elevation of the WBC. The typical gastroenteritis presentation includes nausea and vomiting; however, the discomfort associated with gastroenteritis does not shoot from the area around the umbilicus to the right lower quadrant of the abdomen. Ulcerative colitis is an intermittent inflammatory bowel disease characterized by abdominal cramping. </t>
  </si>
  <si>
    <t xml:space="preserve">A toddler who has been diagnosed with nephrotic syndrome is being treated with prednisone. Therapy should be continued until: </t>
  </si>
  <si>
    <t>The child is free of proteinuria for 3 days</t>
  </si>
  <si>
    <t>Urine output increases</t>
  </si>
  <si>
    <t>Protein increases in the urine</t>
  </si>
  <si>
    <t>The child has weight loss</t>
  </si>
  <si>
    <t>Childhood nephrotic syndrome is a constellation of symptoms that indicate kidney damage, particularly damage to the glomeruli, and the release of too much protein from the body into the urine (proteinuria). The primary goal of treatment is to reduce the protein in the urine, typically by using prednisone. Therapy should continue until the child is free of proteinuria for 3 days. Children with nephrotic syndrome may have weight loss, so weight gain would be another goal of treatment. Prednisone may increase urine output; it is not a sign that treatment can be discontinued.</t>
  </si>
  <si>
    <t>A patient is admitted to the pediatric unit with renal failure. The nurse anticipates that the child will have what type of acid–base imbalance?</t>
  </si>
  <si>
    <t>Respiratory acidosis</t>
  </si>
  <si>
    <t>Respiratory alkalosis</t>
  </si>
  <si>
    <t>Metabolic acidosis</t>
  </si>
  <si>
    <t>Metabolic alkalosis</t>
  </si>
  <si>
    <t>Children with renal failure will experience metabolic acidosis due to impaired ammonia excretion, reduced tubular bicarbonate reabsorption, and insufficient renal bicarbonate production. Essentially, they are unable to excrete waste products efficiently. Labs will show decreased bicarbonate (HCO3) and elevated pH. Metabolic alkalosis occurs when the blood becomes overly alkaline (increased HCO3, elevated pH). Respiratory acidosis occurs when the lungs cannot effectively remove carbon dioxide from the body. Labs will show elevated partial pressure of arterial carbon dioxide (PaCO2) and decreased pH. Respiratory alkalosis is a low level of carbon dioxide in the blood due to hyperventilation (decreased PaCO2, elevated pH).</t>
  </si>
  <si>
    <t>An infant does not pass initial hearing screening upon birth. When should the infant be retested?</t>
  </si>
  <si>
    <t>Within 1 month</t>
  </si>
  <si>
    <t>Within 3 months</t>
  </si>
  <si>
    <t>Within 6 months</t>
  </si>
  <si>
    <t>Within 1 year</t>
  </si>
  <si>
    <t xml:space="preserve">If a newborn does not pass the initial hearing screening, they  should be retested within 3 months to ensure rapid treatment, if required. Treatment for hearing loss is most effective when it is started before the child is 6 months old. </t>
  </si>
  <si>
    <t>Which of the following is the MOST accurate statement regarding the eyes and vision in an infant?</t>
  </si>
  <si>
    <t>Eye color is determined at age 18 months.</t>
  </si>
  <si>
    <t>At birth, visual acuity is approximately 20/400.</t>
  </si>
  <si>
    <t>Binocular vision is achieved at age 10 months.</t>
  </si>
  <si>
    <t>The optic nerve is not fully myelinated until age 6 months.</t>
  </si>
  <si>
    <t>At birth, visual acuity is approximately 20/400. Eye color is determined by age 6 to 12 months. The optic nerve is not fully myelinated until age 3 months. Binocular vision may be achieved between 3 and 7 months.</t>
  </si>
  <si>
    <t>A 6-year-old patient who was admitted to the hospital for an asthma exacerbation tells the nurse that they do not know how to use the “purple disc” medication. Which of the following is the correct instruction for the patient?</t>
  </si>
  <si>
    <t>Hold the disc level and flat, click the lever, bring it to your mouth, suck hard, and hold your breath for 10 seconds.</t>
  </si>
  <si>
    <t>Hold the disc level and flat, click the lever, bring it to your mouth, suck hard, and hold your breath for 20 seconds.</t>
  </si>
  <si>
    <t>Hold the disc level and flat, click the lever while breathing in, and hold your breath for 10 seconds.</t>
  </si>
  <si>
    <t>Hold the disc level and flat, bring it to your mouth, click the lever while breathing in, and hold your breath for 20 seconds.</t>
  </si>
  <si>
    <t>The lever primes the Advair Diskus (fluticasone and salmeterol oral inhaler) with medication, so it should be clicked prior to bringing the diskus to the mouth. The diskus does not have propellent, so the patient will have to suck hard. After taking the medication, the patient should hold their breath for 10 seconds to help the medication get deep into their lungs.</t>
  </si>
  <si>
    <t>Which of the following is the MOST appropriate treatment for allergic conjunctivitis?</t>
  </si>
  <si>
    <t>Symptom relief only</t>
  </si>
  <si>
    <t>Antihistamine eye drops</t>
  </si>
  <si>
    <t>Vasoconstriction eye drops</t>
  </si>
  <si>
    <t>Antibiotic eye drops or ointment</t>
  </si>
  <si>
    <t>Treatment for allergic conjunctivitis is antihistamine and/or mast cell stabilizer eye drops. Patients with bacterial conjunctivitis are treated with antibiotic eye drops or ointment. Patients with viral conjunctivitis are given symptom relief as needed. The use of vasoconstricting eye drops should be avoided because rebound vasodilation may occur and lead to repeated use; also, it does not treat the actual cause of redness.</t>
  </si>
  <si>
    <t>The nurse is caring for a patient with a corneal abrasion. Which of the following is the MOST appropriate nursing intervention?</t>
  </si>
  <si>
    <t>Set up for suturing</t>
  </si>
  <si>
    <t>Provide irrigation of the eye</t>
  </si>
  <si>
    <t>Complete a vision evaluation</t>
  </si>
  <si>
    <t>Administer antibiotic ointment</t>
  </si>
  <si>
    <t>Therapeutic management of eye conditions depends on the type of injury. Corneal abrasions may resolve gradually over time, or an antibiotic ointment may be prescribed. Eyelid lacerations may require suturing. Chemical injuries require irrigation and a vision evaluation.</t>
  </si>
  <si>
    <t>While performing an eye assessment, the nurse notes that the patient's eyes appear to be crossed, but the corneal light reflex remains symmetric. The nurse recognizes that the patient has:</t>
  </si>
  <si>
    <t>Pseudostrabismus</t>
  </si>
  <si>
    <t>Strabismic amblyopia</t>
  </si>
  <si>
    <t>Refractive amblyopia</t>
  </si>
  <si>
    <t>In pseudostrabismus, the eyes appear slightly crossed but the corneal light reflex remains symmetric. In strabismic amblyopia, the eyes are not straight. One eye may turn in, out, up, or down. In refractive amblyopia, there is a difference in refractive error between the eyes, leading to vision in one eye being blurred. Hyperopia refers to farsightedness.</t>
  </si>
  <si>
    <t>Which of the following is complete description of a normal finding for the pupils?</t>
  </si>
  <si>
    <t>Reacting equally to light</t>
  </si>
  <si>
    <t>Having equal color, shape, and clarity</t>
  </si>
  <si>
    <t>Being equal and round, reacting to light, and accommodatiing</t>
  </si>
  <si>
    <t>Being equal, reacting to light, and accommodating</t>
  </si>
  <si>
    <t xml:space="preserve">The pupils should constrict as an object is brought near the eye. Normal findings on examination are recorded as PERRLA: Pupils Equal, Round, React to Light, and Accommodation. In addition to assessing the pupil, the nurse should also inspect the iris for color, size, shape, and clarity. </t>
  </si>
  <si>
    <t>To perform the Hirschberg test, the nurse will:</t>
  </si>
  <si>
    <t>Ask the patient to follow the nurse's finger with their eyes</t>
  </si>
  <si>
    <t>Ask the patient to read lines of descending size on a chart</t>
  </si>
  <si>
    <t>Cover one of the patient's eyes and observe movement of the other eye</t>
  </si>
  <si>
    <t>Shine a light directly into the patient’s eyes from about 16 inches away</t>
  </si>
  <si>
    <t>The corneal light reflex test (Hirschberg test) is performed with a penlight directed onto the patient's face from an arm’s length (approximately 16 inches) away. The nurse will observe the symmetrical location of the white pinpoint light reflexes while the patient gazes at the light. A normal finding would be the reflexes falling symmetrically in or near the center of the pupils. The traditional visual acuity screening includes the reading of a Snellen letter chart. The cover test should be performed while the patient fixates on a small, interesting target, such as a small toy; each eye is alternately covered. A shift in the eye’s alignment shift as it assumes fixation onto the target is a possible indication of strabismus. The nurse can assess the patient's visual fields by asking the patient to follow their finger.</t>
  </si>
  <si>
    <t>Which of the following is the MOST accurate statement regarding the frenulum in type 2 Coryllos ankyloglossia?</t>
  </si>
  <si>
    <t>The frenulum is posterior or not visible.</t>
  </si>
  <si>
    <t>The frenulum is thin and elastic and anchors the tip of the tongue to the ridge behind the lower teeth.</t>
  </si>
  <si>
    <t>The frenulum is thick and stiffened and anchors the tongue from the middle of the underside to the floor of the mouth.</t>
  </si>
  <si>
    <t>The frenulum is fine and elastic, and the tongue is anchored from the tip to the floor of the mouth close to the ridge behind the lower teeth.</t>
  </si>
  <si>
    <t>In patients with type 2 Coryllos ankyloglossia, the frenulum is fine and elastic, and the tongue is anchored from the tip to the floor of the mouth close to the ridge behind the lower teeth. In type 1, the frenulum is thin and  elastic and anchors the tip of the tongue to the ridge behind the lower teeth. In type 3, the frenulum is thick and stiffened and anchors the tongue from the middle of the underside to the floor of the mouth. In type 4, the frenulum is posterior or not visible.</t>
  </si>
  <si>
    <t>The nurse notices that a patient is tilting their head during an eye exam. The patient may be experiencing:</t>
  </si>
  <si>
    <t>Glaucoma</t>
  </si>
  <si>
    <t>Strabismus</t>
  </si>
  <si>
    <t>Inflammation</t>
  </si>
  <si>
    <t>Decreased vision</t>
  </si>
  <si>
    <t>A patient who tilts their head or turns their face during an eye exam could have strabismus, nystagmus, or high astigmatism. A patient showing no eye contact (usually older than 8 weeks) could have decreased vision or delayed vision maturation. A patient with tearing or photophobia could have glaucoma or inflammation.</t>
  </si>
  <si>
    <t>Which of the following is the correct term for an intellectual disability?</t>
  </si>
  <si>
    <t>Cognitive impairment</t>
  </si>
  <si>
    <t>Physical disability</t>
  </si>
  <si>
    <t>Developmental disability</t>
  </si>
  <si>
    <t>Mental retardation</t>
  </si>
  <si>
    <t xml:space="preserve">Cognitive impairment is a general term that refers to any intellectual disability. Physical disability does not encompass any mental disabilities. A developmental disability can be physical or cognitive. Mental retardation is an outdated term that should never be used. </t>
  </si>
  <si>
    <t>The nurse is assisting a child with physical disabilities to place blocks in the correctly shaped spot. The nurse starts by guiding the child’s hand to grab a block and place it. Gradually the nurse removes their hand, so the child becomes more independent with the task. What is this technique called?</t>
  </si>
  <si>
    <t>Shaping</t>
  </si>
  <si>
    <t>Fading</t>
  </si>
  <si>
    <t>Motivation</t>
  </si>
  <si>
    <t>Fading is a technique in which a person assists a child with a task by first placing their hand on the child’s hand to guide them in the desired action; the person will gradually remove their hand from the child’s hand to promote independence with the task. Shaping is waiting for a child to give a response to a desired action and using verbal or tangible reinforcement for good behavior. Motivation is using positive reinforcement and verbal praise to encourage a child to complete a task. Recall occurs when the person performs an action and then asks the child to repeat the action.</t>
  </si>
  <si>
    <t>The nurse is caring for an infant who was severely ill at birth, with low birth weight, an abnormally small head, jaundiced skin, and an enlarged spleen. The infant is at risk for which of the following complications?</t>
  </si>
  <si>
    <t>Hearing loss</t>
  </si>
  <si>
    <t>Shortened limbs</t>
  </si>
  <si>
    <t>Increased visual acuity</t>
  </si>
  <si>
    <t>Delayed puberty</t>
  </si>
  <si>
    <t>The child most likely has cytomegalovirus (CMV), a virus that can cause hearing loss in infants. Presenting symptoms at birth include low birth weight, microcephaly, jaundice, and an enlarged spleen. Immediate intervention is required to minimize risk of hearing loss. Shortened limbs, delayed puberty, and increased visual acuity are not associated with CMV infection.</t>
  </si>
  <si>
    <t>Which of the following is used to screen infants for motor and cognitive developmental disorders?</t>
  </si>
  <si>
    <t>Snellen vision test</t>
  </si>
  <si>
    <t>Ortolani and Barlow tests</t>
  </si>
  <si>
    <t>Harris infant neuromotor test</t>
  </si>
  <si>
    <t>Visual acuity test</t>
  </si>
  <si>
    <t>The Harris infant neuromotor test (HINT) is used to assess an infant's motor and cognitive development. It is used in infants age 2.5 to 12.5 months. Ortolani and Barlow tests assess for hip dysplasia. The Snellen test and visual acuity test are used to assess vision but are not used for infants.</t>
  </si>
  <si>
    <t>The nurse is administering the influenza vaccine to a 6-month-old infant. What regimen is MOST appropriate?</t>
  </si>
  <si>
    <t>Two 0.25-mL doses, 1 month apart</t>
  </si>
  <si>
    <t>Two 0.5-mL doses, 1 month apart</t>
  </si>
  <si>
    <t>Two 0.25-mL doses, 2 months apart</t>
  </si>
  <si>
    <t>Two 0.5-mL doses, 2 months apart</t>
  </si>
  <si>
    <t>Infants cannot receive the influenza vaccine until age 6 months. For children younger than age 9 years who are receiving the influenza vaccine for the first time, two doses should be administered 1 month apart. Children age 6 to 35 months should receive 0.25-mL doses, and children age 36 months and older should receive 0.5-mL doses.</t>
  </si>
  <si>
    <t>Which of the following would be included in the plan of care for a child with unrepaired tetralogy of Fallot with frequent tet spells?</t>
  </si>
  <si>
    <t>Morphine intravenously or intramuscularly, 100% oxygen by face mask</t>
  </si>
  <si>
    <t>Lorazepam, nasal cannula</t>
  </si>
  <si>
    <t>Propranolol, continuous positive airway pressure (CPAP)</t>
  </si>
  <si>
    <t>Nasal cannula with knee-chest position</t>
  </si>
  <si>
    <t>The treatment for a tet spell is knee-chest position, 100% oxygen by face mask, and intravenous or intramuscular morphine to reduce infundibular spasm. Use of lorazepam or propranolol and placing the child in knee-chest position with a nasal cannula would not be appropriate interventions for tetralogy of Fallot exacerbation.</t>
  </si>
  <si>
    <t>The nurse is assessing a child with complaints of high fever, malaise, headaches, sweating, and weight loss. The parent notes that the child had a dental procedure last month. The nurse anticipates which of the following priority orders?</t>
  </si>
  <si>
    <t>Administration of acetaminophen</t>
  </si>
  <si>
    <t>Blood cultures</t>
  </si>
  <si>
    <t>Administration of  oxygen</t>
  </si>
  <si>
    <t>Insertion of a nasogastric tube for nutrition</t>
  </si>
  <si>
    <t>The nurse anticipates that the child will be evaluated for infective endocarditis. Dental procedures can introduce bacteria into the bloodstream that can ultimately infect the heart. Blood cultures should be drawn as soon as possible and prior to initiating antibiotic therapy. Acetaminophen can be given at any time, oxygen is not indicated, and a nasogastric tube would not be indicated unless the child had severely decreased oral intake.</t>
  </si>
  <si>
    <t>The nurse is caring for a child who was admitted with frostbite. While undergoing rewarming in circulating water, the child begins to cry and says, "It hurts." The nurse will:</t>
  </si>
  <si>
    <t>Stop the rewarming and administer pain medication</t>
  </si>
  <si>
    <t>Stop the rewarming, administer pain medication, and apply dry heat</t>
  </si>
  <si>
    <t>Continue the rewarming and administer pain medication</t>
  </si>
  <si>
    <t>Continue the rewarming, administer pain medication, and apply dry heat</t>
  </si>
  <si>
    <t xml:space="preserve">The nurse should continue the rewarming, administer ordered pain medication, and then call the provider. Rapid rewarming in circulating water is the recommended treatment for frostbite. The most common error in this stage of treatment is premature termination of the rewarming process due to reperfusion pain. The nurse can prevent mechanical friction by not touching the extremity and avoiding tissue-to-tissue contact. The nurse should not apply dry heat, as the loss of temperature sensitivity in the injured area may lead to burns. </t>
  </si>
  <si>
    <t>Cardiac arrest in the pediatric population is usually a result of which phenomenon?</t>
  </si>
  <si>
    <t>Sudden cardiac event</t>
  </si>
  <si>
    <t>Metabolic disorders such as diabetes</t>
  </si>
  <si>
    <t>Abnormal circulatory function from progressive respiratory decline</t>
  </si>
  <si>
    <t>Autonomic immaturity</t>
  </si>
  <si>
    <t>Cardiac arrest in the pediatric population typically occurs when there is progressive deterioration of the respiratory system, leading to abnormal circulatory function. A sudden cardiac event is less likely than progressive dysfunction. Endocrine or metabolic disorders can contribute to heart failure, but they are not the most common cause of cardiac arrest. Autonomic immaturity can cause bradydysrhythmias in infants.</t>
  </si>
  <si>
    <t>A 9-month-old infant was diagnosed with bronchiolitis at the pediatrician’s office 2 days ago. The parent brings the infant to the ED and reports that the infant has been feeding poorly since then. During the rapid assessment, the nurse observes that the infant is wary of the nurse, is clinging to the parent, and has intercostal and subcostal retractions. Their color is pale on physical examination. The infant has a respiratory rate of 66 breaths/min, oxygen saturation of 90% on room air, and a temperature of 103°F. When determining the plan of care, which intervention should be the nurse's FIRST priority?</t>
  </si>
  <si>
    <t>Prepare to assist with intubation</t>
  </si>
  <si>
    <t>Administer fever medications</t>
  </si>
  <si>
    <t>Provide supplemental oxygen</t>
  </si>
  <si>
    <t>Establish intravenous access</t>
  </si>
  <si>
    <t>The priority is to provide supplemental oxygen to maintain adequate ventilation and oxygenation because the patient has tachypnea and oxygen saturation of 90% on room air. Although intubation could become necessary if the infant decompensates, mental status indicates that the child is still compensating at this time. Administering fever medications may be necessary after providing priority interventions for airway, breathing, and circulation. Establishing intravenous access would not take priority over maintaining adequate ventilation and oxygenation for a patient with oxygen saturation of 90%; however, circulatory interventions would be the next priority.</t>
  </si>
  <si>
    <t>While assessing a child with asthma, the nurse notes white patches on the inner cheeks and tongue. Which of the following questions will the nurse ask the patient?</t>
  </si>
  <si>
    <t>“Do you use a spacer with your corticosteroid inhaler?”</t>
  </si>
  <si>
    <t>“Do you use a spacer with your albuterol inhaler?”</t>
  </si>
  <si>
    <t>“Do you hold your breath for 10 seconds after using your corticosteroid inhaler?”</t>
  </si>
  <si>
    <t>“Do you hold your breath for 10 seconds after using your albuterol inhaler?”</t>
  </si>
  <si>
    <t>White patches on the inner cheeks and tongue are indicative of a yeast infection in the mouth (oral thrush), which can occur with administration of inhaled corticosteroids. Spacers prevent yeast infections by helping to deliver the medication straight to the lungs, leaving less in the throat. Patients can further prevent thrush by rinsing out their mouth and gargling with water after using an inhaler. An albuterol inhaler does not contain steroids and therefore does not cause oral thrush. Holding the breath for a count of 10 keeps the medication in the lungs, which does not affect the growth of yeast in the mouth.</t>
  </si>
  <si>
    <t>What is the most common abdominal injury in pediatric patients?</t>
  </si>
  <si>
    <t>Splenic</t>
  </si>
  <si>
    <t>Hepatic</t>
  </si>
  <si>
    <t>Pancreatic</t>
  </si>
  <si>
    <t>Kidney</t>
  </si>
  <si>
    <t>Pediatric abdominal trauma is typically blunt in nature, with the spleen being the most common organ injured. Hepatic injury may be caused by drug overdose (acetaminophen or natural products like mushrooms or medicinal herbs). Pancreatic injury is uncommon. Acute kidney injury is caused by reduced blood flow to the kidneys; this typically occurs in children who are already unwell with another health condition.</t>
  </si>
  <si>
    <t>Adolescent patients are at high risk for pelvic inflammatory disease (PID) due to:</t>
  </si>
  <si>
    <t>Presence of an intrauterine device and thinner cervical mucus</t>
  </si>
  <si>
    <t>Immature immune system and greater exposure to multiple sexual partners</t>
  </si>
  <si>
    <t>Recent gynecological procedure and larger zones of cervical ectropion</t>
  </si>
  <si>
    <t>Habits of douching and cigarette smoking</t>
  </si>
  <si>
    <t>Predisposing factors that put adolescent patients at higher risk for developing PID include immature immune systems, thinner cervical mucus, larger zones of cervical ectropion, and greater exposure to multiple sexual partners. The presence of an intrauterine device is not a predisposing factor for adolescent PID development. A recent gynecological procedure is not a predisposing factor for adolescent PID development. Douching and cigarette smoking are general risk factors for the development of PID, not just in adolescent patients.</t>
  </si>
  <si>
    <t>A 14-year-old patient arrives at the ED with severe, acute abdominal pain and sickle cell crisis. The nurse's INITIAL intervention is to:</t>
  </si>
  <si>
    <t>Transfuse a unit of blood</t>
  </si>
  <si>
    <t>Administer oral opioids</t>
  </si>
  <si>
    <t>Maintain a cool environment</t>
  </si>
  <si>
    <t>Give supplemental oxygen</t>
  </si>
  <si>
    <t>Capillary blood flow obstruction caused by clumping of sickle cells leads to tissue hypoxia and pain. Oxygenation reverses the sickling process in about 80% of the cells. Blood transfusion may not be indicated unless the patient is found to be significantly anemic. For a patient with severe acute pain, parenteral opioids should be initiated rapidly. A cool or cold environment can trigger a sickle cell crisis, so a warm environment should be maintained.</t>
  </si>
  <si>
    <t>Symptoms of mononucleosis typically begin:</t>
  </si>
  <si>
    <t>3 to 4 weeks after exposure</t>
  </si>
  <si>
    <t>4 to 6 weeks after exposure</t>
  </si>
  <si>
    <t>15 to 24 weeks after exposure</t>
  </si>
  <si>
    <t>1 to 2 weeks after exposure</t>
  </si>
  <si>
    <t>Symptoms of mononucleosis typically begin 4 to 6 weeks after an individual is exposed. The acute viral illness may last for 3 to 4 weeks after onset of signs and symptoms. Peak incidence occurs in the 15- to 24-year-old age group. The patient is typically still asymptomatic 1 to 2 weeks after exposure.</t>
  </si>
  <si>
    <t>Which of the following diets would be ordered for a patient whose abdominal x-ray shows segments of stricture separated by normal bowel?</t>
  </si>
  <si>
    <t>High-protein, low-fiber, high-calorie</t>
  </si>
  <si>
    <t>Low-protein, high-fiber, low-calorie</t>
  </si>
  <si>
    <t>High-protein, high-fiber, high-calorie</t>
  </si>
  <si>
    <t>Low-protein, low-fiber, low-calorie</t>
  </si>
  <si>
    <t>An abdominal x-ray with the “string sign” is characteristic of Crohn’s disease. Effective treatment requires nutritional support with high-protein, high-calorie, low-fiber foods and supplementation with iron, zinc, folic acid, and vitamins.</t>
  </si>
  <si>
    <t>The nurse is teaching the parent of a child newly diagnosed with celiac disease about dietary restrictions. Which statement by the parent indicates that the teaching was effective?</t>
  </si>
  <si>
    <t>"An appropriate lunch would be an almond butter and jelly sandwich on sourdough, with celery sticks."</t>
  </si>
  <si>
    <t>"An appropriate dinner would be a plain hamburger on a corn tortilla, with roasted potatoes and carrots."</t>
  </si>
  <si>
    <t>"An appropriate lunch would be two slices of pepperoni and mushroom pizza, with a sliced apple."</t>
  </si>
  <si>
    <t>"An appropriate dinner would be fish sticks and macaroni and cheese, with cherry tomatoes and cucumbers."</t>
  </si>
  <si>
    <t>Celiac disease is an autoimmune disorder that is triggered by the ingestion of gluten. Children with celiac disease should avoid foods that contain gluten, including wheat, barley, bulgur, durum, farina, graham four, malt, rye, semolina, spelt (a form of wheat), and triticale. This includes non–gluten-free bread (and breading, such as on fish sticks), pizza dough, pasta, cakes, cookies, and crackers. Many condiments include gluten, so parents should closely examine the ingredient lists of products such as salad dressings, marinades, barbecue sauces, and ketchup. Rice and corn products (including tortillas) are acceptable foods, as are fresh fruits and vegetables.</t>
  </si>
  <si>
    <t>The nurse closes the mouth of an infant and then closes one nostril at a time to assess:</t>
  </si>
  <si>
    <t>Tactile stimulation</t>
  </si>
  <si>
    <t>Nasal flaring</t>
  </si>
  <si>
    <t>Patency of nasal passages</t>
  </si>
  <si>
    <t>To test the patency of the infant’s nasal passages, the nurse will close the mouth and then close one nostril at a time. Nasal flaring occurs when the nostrils widen while breathing. It can be a sign of respiratory distress. Respiratory rate is assessed by counting the number of breaths in 1 minute. Tactile stimulation is tested by asking the patient to close their eyes and verbalize what they feel when the nurse touches them with a cotton swab. This test is not appropriate for infants since they are not able to verbalize sensations.</t>
  </si>
  <si>
    <t>While using an otoscope on a patient, the nurse sees a translucent, pearly-gray structure. The nursing is viewing the:</t>
  </si>
  <si>
    <t>Incus</t>
  </si>
  <si>
    <t>Manubrium</t>
  </si>
  <si>
    <t>Tympanic membrane</t>
  </si>
  <si>
    <t>Malleus</t>
  </si>
  <si>
    <t xml:space="preserve">The tympanic membrane separates the outer ear from the middle ear. When viewed through an otoscope, it appears as a translucent, pearly-pink or pearly-gray structure. The malleus and incus are two of the three ossicles (malleus, incus, stapes) in the middle ear that transmit sound from the tympanic membrane to the inner ear. Because the tympanic membrane is translucent, the malleus and incus can often be seen with an otoscope. The manubrium is the "handle" of the malleus that adheres to the medial surface of the tympanic membrane. </t>
  </si>
  <si>
    <t>A parent informs the nurse that their 13-year-old son has missed school frequently due to recurring headaches and dizziness. Family history reveals hypertension in both parents and an older sibling. The nurse will:</t>
  </si>
  <si>
    <t>Obtain a blood pressure (BP) reading while the patient lies in supine position</t>
  </si>
  <si>
    <t>Obtain BP readings in the patient's upper and lower extremities</t>
  </si>
  <si>
    <t>Obtain three separate BP readings from the patient at timely intervals</t>
  </si>
  <si>
    <t>Obtain BP readings in the upper extremities directly after the patient stands and then lies down</t>
  </si>
  <si>
    <t>The patient may be experiencing hypertension. A careful medical history and family history should be obtained. Before a diagnosis can be made, the nurse must obtain three separate BP readings from the patient at timely intervals. It is important to keep in mind that a child who is large for their age may normally have a higher BP than a child of average size. If white coat syndrome is suspected, the nurse should provide the patient with an ambulatory BP monitor.</t>
  </si>
  <si>
    <t>The nurse is preparing to immunize a neonate. Prior to administering the vaccine, the nurse learns that the results of the mother's hepatitis B surface antigen (HBsAg) test are unknown. The nurse's BEST action is to:</t>
  </si>
  <si>
    <t>Combine the hepatitis B vaccine and hepatitis B immune globulin in one syringe and give within 12 hours of birth</t>
  </si>
  <si>
    <t>Give both the hepatitis B vaccine and hepatitis B immune globulin within 24 hours of birth in the same site</t>
  </si>
  <si>
    <t>Give both the hepatitis B vaccine and hepatitis B immune globulin within 12 hours of birth in different sites</t>
  </si>
  <si>
    <t>Combine the hepatitis B vaccine and hepatitis B immune globulin in one syringe and give within 24 hours of birth</t>
  </si>
  <si>
    <t>Before immunizing a neonate, the nurse checks the results of the mother’s HBsAg test. If the mother is HBsAg positive or if her HBsAg status is unknown, the vaccine must be given within 12 hours of birth, along with hepatitis B immune globulin (also within 12 hours of birth) administered in two different sites. Physicians may order the injections within the first 24 hours, but it is recommended to do so within 12 hours of birth.</t>
  </si>
  <si>
    <t>Which of the following physical findings indicates that a patient has allergies?</t>
  </si>
  <si>
    <t>Enlarged tonsils</t>
  </si>
  <si>
    <t>Yellow, scaly scalp</t>
  </si>
  <si>
    <t>Nose crease</t>
  </si>
  <si>
    <t>Deep cough</t>
  </si>
  <si>
    <t>Allergic rhinitis may produce sneezing attacks, rhinorrhea, nasal obstruction or congestion, and itching nose (resulting in a characteristic nose crease). Yellow, scaly scalp is indicative of seborrhea. Enlarged tonsils and a deep cough can be caused by viral or bacterial infections.</t>
  </si>
  <si>
    <t>Atopic dermatitis is mediated by which immunoglobulin?</t>
  </si>
  <si>
    <t>IgM</t>
  </si>
  <si>
    <t>IgE</t>
  </si>
  <si>
    <t>IgG</t>
  </si>
  <si>
    <t>IgA</t>
  </si>
  <si>
    <t>Atopic dermatitis is a type I hypersensitivity reaction mediated by immunoglobulin E (IgE). IgE governs the allergic response by stimulating basophils to release their products after contact with an allergen. Immunoglobulin M (IgM) is the largest immunoglobulin. It stays in the blood and is responsible for making antibodies against the ABO blood groups. Immunoglobulin G (IgG) is the smallest immunoglobulin and the only one that passes the placenta, thus offering the neonate passive protection. Immunoglobulin A (IgA) is present in all moist body secretions, including breast milk, saliva, and tears. It prevents viruses and bacteria from adhering to the mucous membranes.</t>
  </si>
  <si>
    <t>What type of immune cell is responsible for the body’s recognition of self versus non-self?</t>
  </si>
  <si>
    <t>T lymphocyte</t>
  </si>
  <si>
    <t xml:space="preserve">Human leukocyte antigen </t>
  </si>
  <si>
    <t>B lymphocyte</t>
  </si>
  <si>
    <t>Monocyte</t>
  </si>
  <si>
    <t>Human leukocyte antigen allows the body to recognize self versus non-self. T lymphocytes carry out functions directly or by their cell products. B lymphocytes produce antibodies. Monocytes phagocytize parasites. T and B lymphocytes and monocytes do not help the body recognize self versus non-self.</t>
  </si>
  <si>
    <t>Which type of hypersensitivity disorder is anaphylaxis?</t>
  </si>
  <si>
    <t>Type I</t>
  </si>
  <si>
    <t>Type II</t>
  </si>
  <si>
    <t>Type III</t>
  </si>
  <si>
    <t>Type IV</t>
  </si>
  <si>
    <t>Anaphylaxis is a type I hypersensitivity disorder. A transfusion reaction is an example of a type II hypersensitivity disorder. Rheumatic fever is an example of a type III hypersensitivity disorder. Contact dermatitis is an example of a type IV hypersensitivity disorder.</t>
  </si>
  <si>
    <t>After a patient receives a blood transfusion, how long should the nurse wait before administering a measles, mumps, and rubella (MMR) vaccine?</t>
  </si>
  <si>
    <t>1 month</t>
  </si>
  <si>
    <t>2 months</t>
  </si>
  <si>
    <t>3 months</t>
  </si>
  <si>
    <t>4 months</t>
  </si>
  <si>
    <t>Administration of the MMR and varicella vaccines should be postponed for a minimum of 3 months after passive immunization with immunoglobulins and blood transfusions.</t>
  </si>
  <si>
    <t>A 7-year-old child who is in Tanner stage 2 is in which stage of puberty?</t>
  </si>
  <si>
    <t>Menarche</t>
  </si>
  <si>
    <t>Precocious puberty</t>
  </si>
  <si>
    <t>Premature adrenarche</t>
  </si>
  <si>
    <t>Premature pubarche</t>
  </si>
  <si>
    <t>Precocious puberty is the onset of puberty prior to the age that is considered normal. In female patients, it is usually around age 6 or 7 years; for male patients, it is age 8 years. Menarche is the onset of menstruation. Premature adrenarche is the presence of pubic hair in female patients age 5 to 8 years. Premature pubarche is the isolated appearance of pubic hair.</t>
  </si>
  <si>
    <t>Which of the following is a complication from long-term uncontrolled diabetes mellitus?</t>
  </si>
  <si>
    <t>Peripheral neuropathy</t>
  </si>
  <si>
    <t>Pneumonia</t>
  </si>
  <si>
    <t>Cholelithiasis</t>
  </si>
  <si>
    <t>Exercise intolerance</t>
  </si>
  <si>
    <t>The long-term effects of uncontrolled diabetes mellitus include peripheral neuropathy, hypertension, diabetic kidney disease, coronary artery disease, and cerebrovascular accidents. Pneumonia, cholelithiasis (gallstones), and exercise intolerance are not related to diabetes mellitus.</t>
  </si>
  <si>
    <t>The nurse is caring for an 11-year-old patient with hyperthyroidism who suddenly becomes irritated, vomits, and complains of feeling hot. The patient's blood pressure is 130/90 mmHg, and their pulse is 130 beats/min. The nurse should suspect that the patient is experiencing:</t>
  </si>
  <si>
    <t>Adverse drug reaction</t>
  </si>
  <si>
    <t>Hypertensive urgency</t>
  </si>
  <si>
    <t>Thyroid storm</t>
  </si>
  <si>
    <t>Acute psychosis</t>
  </si>
  <si>
    <t>Thyroid storm is a medical emergency associated with hyperthyroidism. It presents as an acute onset of irritability, vomiting, diarrhea, hyperthermia, hypertension, and tachycardia. It may progress to delirium or death if not treated. Hypertensive urgency would present with severely elevated blood pressure. Adverse drug reactions usually manifest as a rash, hives, nausea or vomiting, or an anaphylactic reaction. Acute psychosis manifests with delirium, paranoia, and erratic behavior.</t>
  </si>
  <si>
    <t>A parent reports that, when walking, their child frequently stops, squats, and refuses to walk farther. The nurse should assess for:</t>
  </si>
  <si>
    <t>Loud systolic murmur, clubbing of the fingers, and history of fainting</t>
  </si>
  <si>
    <t>Tachycardia, loud systolic murmur, and weak or absent pulses</t>
  </si>
  <si>
    <t>Loud systolic murmur, tachycardia, and history of fainting</t>
  </si>
  <si>
    <t>Tachycardia, weak or absent pulses, and clubbing of the fingers</t>
  </si>
  <si>
    <t>The nurse should suspect that the child is experiencing tetralogy of Fallot. Children with unrepaired tetralogy of Fallot often squat during episodes of shortness of breath because it increases the venous blood flow to the heart. Tetralogy of Fallot manifests as a loud systolic murmur, clubbing of the fingers, and tet spells, when the child may be cyanotic and faint. Tachycardia is not associated with tetralogy of Fallot.</t>
  </si>
  <si>
    <t>The nurse is caring for a 6-year-old patient who is being treated with oral steroids. The child has a swollen "moon face," excess facial hair growth, bruises, and weight gain. The MOST likely cause is:</t>
  </si>
  <si>
    <t>Cushing syndrome</t>
  </si>
  <si>
    <t>Congenital adrenal hyperplasia</t>
  </si>
  <si>
    <t>Addison disease</t>
  </si>
  <si>
    <t>Acute adrenocortical insufficiency</t>
  </si>
  <si>
    <t>Cushing syndrome is rare in childhood and is typically secondary to steroid use. The child develops cushingoid symptoms and appearance. It can be treated by tapering off the steroids, administering the steroids earlier in the morning, or alternating days of use. Congenital adrenal hyperplasia occurs when there is a failure to produce proper growth hormones. It can present with dehydration, low blood pressure, ambiguous genitalia, and short stature. Addison disease can present with fatigue, nausea, loss of appetite, excess urination, and weight loss.</t>
  </si>
  <si>
    <t>The nurse is caring for a 14-year-old female patient who experiences extreme symptoms during periods of stress, including muscle weakness, mental fatigue, dizziness, headaches, and occasional syncopal episodes. The MOST likely cause is:</t>
  </si>
  <si>
    <t>Chronic adrenocortical insufficiency</t>
  </si>
  <si>
    <t>The most likely cause of the patient's extreme symptoms is chronic adrenocortical insufficiency, or Addison disease, which is rare in childhood. The disorder manifests during periods of stress and involves different body systems. Symptoms include muscular weakness; irritability; mental fatigue; increased sleeping; pigment changes in hair, skin, and mucous membranes; dehydration; weight loss; and circulatory symptoms. Diabetes mellitus presents with polyuria, polydipsia, and polyphagia. Hyperthyroidism presents with excessive sweating, irritability, fast heart rate, or weight loss. Hypothyroidism presents with fatigue, lethargy, feeling cold, or weight gain.</t>
  </si>
  <si>
    <t>The nurse is administering insulin to a patient with type 1 diabetes for a preprandial blood glucose level of 200. The patient asks how the insulin helps to lower their blood sugar. Which of the following is the MOST accurate response?</t>
  </si>
  <si>
    <t>“Insulin destroys circulating glucose, thereby lowering the levels.”</t>
  </si>
  <si>
    <t>“Insulin blocks the effects of blood glucose until the insulin wears off.”</t>
  </si>
  <si>
    <t>“Insulin promotes movement of glucose out of the blood and into cells.”</t>
  </si>
  <si>
    <t>“Insulin promotes reabsorption of water and thereby reabsorption of glucose.”</t>
  </si>
  <si>
    <t>Insulin acts on a negative feedback cycle. When glucose is released into the blood, it stimulates the pancreas to release insulin to lower the blood glucose level and promote movement of blood glucose back into the cells. Insulin does not destroy circulating glucose, nor does it block the effect of blood glucose or promote reabsorption of water.</t>
  </si>
  <si>
    <t>The nurse is assessing a 10-year-old patient with type 1 diabetes. The parent notes that the child felt fine before leaving for school, but was sweating, irritable, drowsy, and fatigued after school. The MOST likely cause is:</t>
  </si>
  <si>
    <t>Ketoacidosis</t>
  </si>
  <si>
    <t>Hypoglycemia</t>
  </si>
  <si>
    <t>Insulinemia</t>
  </si>
  <si>
    <t>Hyperglycemia</t>
  </si>
  <si>
    <t>Children with type 1 diabetes can experience hypoglycemia prior to meals or if a meal is missed. Symptoms include dizziness, headache, irritability, sweating, pallor, weakness, and tremors. Hyperglycemia can present similarly, but the onset is gradual (over days) as opposed to rapid. Insulinemia is excess insulin in the blood. Ketoacidosis occurs when the body produces excess blood acids; patients present with fatigue and fruity-smelling breath.</t>
  </si>
  <si>
    <t>The nurse is assessing a 5-year-old patient who has a family history of diabetes. The parent tells the nurse that the child goes to the bathroom frequently and is always thirsty. The nurse anticipates that the physician will MOST likely order which of the following tests?</t>
  </si>
  <si>
    <t>Basic metabolic panel</t>
  </si>
  <si>
    <t>Abdominal ultrasound</t>
  </si>
  <si>
    <t>Complete blood count</t>
  </si>
  <si>
    <t>Fasting plasma glucose</t>
  </si>
  <si>
    <t>The physician will likely order a fasting plasma glucose. The diagnostic tests for type 1 diabetes include A1C, fasting plasma glucose, 2-hour plasma glucose, and random plasma glucose. An abdominal ultrasound is not used to diagnose diabetes. A complete blood count and a basic metabolic panel measure different levels of blood cells and electrolytes in the blood; they are not used to diagnose diabetes.</t>
  </si>
  <si>
    <t>The nurse is administering oral iodine to a preoperative patient who is scheduled for a thyroidectomy in 2 weeks. The parents ask why the iodine is being administered now. The nurse's BEST response is:</t>
  </si>
  <si>
    <t>“Oral iodine is used to enhance the thyroid prior to surgery.”</t>
  </si>
  <si>
    <t>“Oral iodine is used to prevent a possible thyroid crisis after surgery.”</t>
  </si>
  <si>
    <t>“Oral iodine is not strictly necessary, but it can help prevent infection.”</t>
  </si>
  <si>
    <t>“Radiation is the first choice, but oral iodine can replace radiation.”</t>
  </si>
  <si>
    <t>Oral iodine therapy is administered prior to a thyroidectomy to help prevent a thyroid crisis after surgical removal. Iodine is not used to enhance the thyroid prior to surgery. Iodine is not an antibiotic, so it is not used to prevent infection. Radiation should not be used because it can cause severe complications.</t>
  </si>
  <si>
    <t>The nurse is educating parents on potential postoperative complications following thyroidectomy surgery. Which of the following statements made by the parents indicate that the teaching has been successful?</t>
  </si>
  <si>
    <t>“I should monitor for dry skin, fast heart rate, and muscle cramps.”</t>
  </si>
  <si>
    <t>“I should monitor for muscle cramps, stiffness, and abdominal discomfort.”</t>
  </si>
  <si>
    <t>“I should monitor for decreased appetite and change in skin color.”</t>
  </si>
  <si>
    <t>“There are few complications with this surgery, so I do not need to monitor for anything specific."</t>
  </si>
  <si>
    <t xml:space="preserve">Hypoparathyroidism is a potential complication of thyroidectomy surgery. The parents should monitor the child for muscle cramps, which can progress to stiffness and convulsions. Decreased appetite, change in skin color, dry skin, and a fast heart rate are not common signs of post-thyroidectomy complications. </t>
  </si>
  <si>
    <t>The nurse is providing discharge education to the parents of 12-year-old patient who is being treated with carbimazole for thyroid dysfunction. The nurse should advise the parents to monitor the child for which of the following serious side effects?</t>
  </si>
  <si>
    <t>Sore throat and fever</t>
  </si>
  <si>
    <t>Blurred vision and fast heart rate</t>
  </si>
  <si>
    <t>Shortness of breath and dry skin</t>
  </si>
  <si>
    <t>Fatigue and mental fog</t>
  </si>
  <si>
    <t>The parents should monitor the patient for fever and sore throat, which could be signs of agranulocytosis (severe leukemia). If these signs appear, the parents should stop the medication and immediately contact the physician. Blurred vision and tachycardia are not common side effects of anti-thyroid (ATD) therapy, and shortness of breath and dry skin are not associated with ATD therapy. The patient may experience fatigue and mental fog, but they are not serious side effects from the medication and should resolve. If they continue, the parents should contact the physician.</t>
  </si>
  <si>
    <t>The nurse is teaching a school-aged child how to self-monitor blood glucose. Which of the following is the MOST appropriate location for the patient to obtain blood samples?</t>
  </si>
  <si>
    <t>Fingertips</t>
  </si>
  <si>
    <t>Lateral side of thighs</t>
  </si>
  <si>
    <t>Palms of hands</t>
  </si>
  <si>
    <t>A school-aged child is old enough to administer insulin and monitor their blood glucose. The most appropriate site location is the fingertips; if required, the forearm can also be used. The lateral part of the thighs, stomach, and palms of the hands are inappropriate locations to obtain a viable blood sample for a glucose test.</t>
  </si>
  <si>
    <t xml:space="preserve">The nurse is performing an assessment on a new 10-year-old male patient who complains of headaches. The parent notes that their son is active in sports and is the "star player" on the football team. The child has experienced a large increase in muscle mass and height (3 feet) over the past 3 years. The nurse suspects that the patient may be experiencing: </t>
  </si>
  <si>
    <t>Growth hormone abnormality</t>
  </si>
  <si>
    <t>No medical condition; these are normal findings</t>
  </si>
  <si>
    <t>The child may be experiencing a growth hormone abnormality. Children with excessive growth hormone present with an increase in linear height and muscle mass, headaches, and fluctuations in emotions. Referral to a specialist for evaluation is required. Hyperthyroidism presents with tachycardia, sweating, heat intolerance, and irritability. Precocious puberty occurs when a child reaches Tanner stage 2 prior to the age of 8 years.</t>
  </si>
  <si>
    <t>When feeding an infant with Down syndrome post cardiac repair, the nurse sits the infant up at approximately a 90-degree angle. Which of the following is the MOST accurate statement regarding this feeding method?</t>
  </si>
  <si>
    <t>It decreases the incidence of aspiration, decreases the work of eating, and reduces gastroesophageal reflux.</t>
  </si>
  <si>
    <t>It decreases the incidence of aspiration, decreases pressure on the incision, and decreases the work of eating.</t>
  </si>
  <si>
    <t>It decreases pressure on the incision, decreases the work of breathing, and allows easy transfer to the nurse’s shoulder for burping.</t>
  </si>
  <si>
    <t>It decreases pressure on the incision, reduces gastroesophageal reflux, and allows easy transfer to the nurse’s shoulder for burping.</t>
  </si>
  <si>
    <t>Children with Down syndrome frequently have floppy tone, which does not allow them to hold their trunk, neck, and head up. This predisposes them to aspiration. Holding them at approximately a 90-degree angle decreases the incidence of aspiration, decreases pressure on the incision, and decreases the work of eating. Frequent burping reduces gastroesophageal reflux; however, an infant post surgical repair should not be burped on a shoulder because it may compromise the incision.</t>
  </si>
  <si>
    <t>The nurse is caring for a child who is underweight, is wearing clothes that are too small, and has not received medical care in over 3 years. The child does not show any signs of illness or injury. The nurse suspects what type of neglect?</t>
  </si>
  <si>
    <t>Physical</t>
  </si>
  <si>
    <t>General</t>
  </si>
  <si>
    <t>Severe</t>
  </si>
  <si>
    <t>Emotional</t>
  </si>
  <si>
    <t>General neglect is when a child is not provided with basic needs such as food, clothing, shelter, or medical care, and no obvious signs of physical abuse are present. Physical neglect presents with injuries on the affected party that do not coincide with the narrative provided. Severe neglect can present in different ways, from malnourishment to cachectic appearance. Emotional neglect takes the form of verbal insults and belittling of the affected party.</t>
  </si>
  <si>
    <t>Which of the following viruses causes mononucleosis?</t>
  </si>
  <si>
    <t>Cytomegalovirus</t>
  </si>
  <si>
    <t>Epstein–Barr virus</t>
  </si>
  <si>
    <t>Rhinovirus</t>
  </si>
  <si>
    <t>Influenza virus</t>
  </si>
  <si>
    <t>The Epstein–Barr virus is the principle agent in infectious mononucleosis. Cytomegalovirus is an infection that can cause problems with the digestive system and liver. Rhinovirus is the most common infectious agent for the common cold. Influenza virus belongs to a family of viruses that cause general fatigue, malaise, and upper respiratory symptoms.</t>
  </si>
  <si>
    <t>While assessing a child, the nurse notes a transverse crease on the tip of the nose. The nurse will ask the parent if the child has a history of:</t>
  </si>
  <si>
    <t>Nasal spray use</t>
  </si>
  <si>
    <t>Allergies</t>
  </si>
  <si>
    <t>Broken nose</t>
  </si>
  <si>
    <t>Birth trauma</t>
  </si>
  <si>
    <t>A transverse crease on the tip of a child’s nose is known as the “allergic salute,” which is caused by frequent rubbing and wiping of the nose in an upward motion. Patients with allergies frequently demonstrate this finding. A patient who uses nasal spray may present with dry mucous membranes in the nose, and a patient with a history of broken nose may present with bruising and a misshapen nose. Birth trauma would present at birth and resolve shortly after.</t>
  </si>
  <si>
    <t>The nurse is caring for a child with a Chiari malformation. MRI shows the cerebellum and brain stem tissue protruding into the foramen magnum. The nurse recognizes that the child has:</t>
  </si>
  <si>
    <t>Chiari malformation type I</t>
  </si>
  <si>
    <t>Chiari malformation type II</t>
  </si>
  <si>
    <t>Chiari malformation type III</t>
  </si>
  <si>
    <t>Chiari malformation type IV</t>
  </si>
  <si>
    <t>Chiari malformations are structural defects in the base of the skull and cerebellum. They are classified by the severity of the disorder and the parts of the brain that extend into the spinal column. In Chiari malformation type I, the most common type, the lower part of the cerebellum (cerebellar tonsils) extends into the foramen magnum. In Chiari malformation type II, both the cerebellum and the brain stem tissue protrude into the foramen magnum, as seen in this patient. In Chiari malformation type III, parts of the cerebellum and brain stem herniate through an abnormal opening in the back of the skull. Children with Chiari malformation type IV have an incomplete or underdeveloped cerebellum.</t>
  </si>
  <si>
    <t>Which symptom is commonly seen in young children with gastroesophageal reflux disease (GERD)?</t>
  </si>
  <si>
    <t>Steatorrhea</t>
  </si>
  <si>
    <t>Hematemesis</t>
  </si>
  <si>
    <t>Hematemesis is one common symptom of GERD. Weight loss and bradycardia are other common symptoms. Steatorrhea presents more commonly in conditions such as cystic fibrosis and chronic pancreatitis.</t>
  </si>
  <si>
    <t>Which of the following findings would be expected in a 6-year-old patient diagnosed with cystitis?</t>
  </si>
  <si>
    <t>Dysuria</t>
  </si>
  <si>
    <t>Flank pain</t>
  </si>
  <si>
    <t>High fever</t>
  </si>
  <si>
    <t>Cystitis is an inflammation of the bladder most often caused by a urinary tract infection. Common symptoms include dysuria, urinary frequency, hematuria, and cramping in the groin or lower abdomen. Pyelonephritis (kidney infection) presents with more severe symptoms such as high fever, chills, back pain, flank pain, and nausea and vomiting.</t>
  </si>
  <si>
    <t>The nurse is assessing a 15-year-old patient for anorexia nervosa. The patient’s body mass index (BMI) is 15.25. What level of severity is the patient’s condition?</t>
  </si>
  <si>
    <t>Mild</t>
  </si>
  <si>
    <t>Moderate</t>
  </si>
  <si>
    <t>Extreme</t>
  </si>
  <si>
    <t>Anorexia nervosa is defined as a refusal or inability to maintain a normal body weight. Criteria for diagnosing anorexia include less than 85% of body weight expected for age and height; failure to gain weight during a growth period, leading to body weight less than 85% of expected; or a BMI of 17.5 or lower. Criteria also include a fear of gaining weight, body image disturbance, denial of low weight, or at least three skipped menstrual periods in a row (when relevant). Mild anorexia occurs when the child or adolescent has clinical symptoms along with a BMI of greater than 17; moderate anorexia involves a BMI of 16 to 16.99; severe anorexia involves a BMI of 15 to 15.99; and extreme anorexia involves a BMI of less than 15. With a BMI of 15.25, this patient falls into the severe category and requires immediate treatment.</t>
  </si>
  <si>
    <t xml:space="preserve">The nurse is educating parents on behavioral strategies for bedtime resistance. The nurse will encourage the parents to: </t>
  </si>
  <si>
    <t>Establish a bedtime routine</t>
  </si>
  <si>
    <t>Eliminate sleep-onset associations</t>
  </si>
  <si>
    <t>Keep the child’s room warm and adequately lit</t>
  </si>
  <si>
    <t>Temporarily adjust bedtime closer to the child’s actual sleep onset</t>
  </si>
  <si>
    <t>If a child is experiencing bedtime resistance, the nurse will educate the parents on the importance of creating a bedtime environment that promotes sleep, including establishing a bedtime routine (e.g., bath and then story time); no electronics at least 1 hour before bed; keeping the room cool, dark or dimly lit, and quiet; and using the bed only for sleep (e.g., no toys in bed). Eliminating sleep-onset associations would be appropriate for a child who is experiencing nighttime awakening (e.g., getting up for a bottle). The parent would temporarily adjust bedtime closer to the child’s actual sleep onset if the child were experiencing delayed sleep onset, rather than bedtime resistance.</t>
  </si>
  <si>
    <t>Which of the following findings would the nurse expect to find in a child with fifth disease?</t>
  </si>
  <si>
    <t>Highly contagious red scaly rash on the scalp</t>
  </si>
  <si>
    <t>Pink or skin-colored smooth bumps on the face</t>
  </si>
  <si>
    <t>Mild red rash on the cheeks, arms, and legs</t>
  </si>
  <si>
    <t>High fever and a rash that develops as the fever decreases</t>
  </si>
  <si>
    <t>Fifth disease is a viral illness caused by parvovirus B19. The most common finding is a mild red rash on the cheeks, arms, and legs. The facial rash may looks as though the cheeks were "slapped." Other symptoms include sore throat, low-grade fever, upset stomach, headache, and fatigue. Molluscum contagiosum causes pink or skin-colored smooth bumps that can appear anywhere on the body. They are not harmful and will resolve on their own. Scalp ringworm is a highly contagious condition with the hallmark sign of a red scaly rash on the scalp. Roseola is a contagious viral illness that is marked by a high fever and a rash that develops as the fever decreases.</t>
  </si>
  <si>
    <t>A 9-year-old patient presents to the ED with a 25-mmHg difference between right and left arm blood pressure and bounding radial pulses. The triage nurse's priority assessment is to:</t>
  </si>
  <si>
    <t>Palpate carotid pulses</t>
  </si>
  <si>
    <t>Auscultate for murmur</t>
  </si>
  <si>
    <t>Palpate for hepatosplenomegaly</t>
  </si>
  <si>
    <t>Perform a four-limb blood pressure</t>
  </si>
  <si>
    <t>The nurse should suspect that the patient may have coarctation of the aorta. A four-limb blood pressure measurement will assist in the diagnosis of this condition. Symptoms include a blood pressure difference of at least 20 mmHg in any limb and, commonly, upper-extremity blood pressures that are greater than lower-extremity blood pressures.</t>
  </si>
  <si>
    <t>The nurse is caring for a pediatric burn patient. The nurse anticipates that which of the following will be included in the plan of care?</t>
  </si>
  <si>
    <t>Delayed nutritional support</t>
  </si>
  <si>
    <t>Aggressive fluid resuscitation</t>
  </si>
  <si>
    <t>Initial low-dose oxygen support with intubation</t>
  </si>
  <si>
    <t>Avoidance of succinylcholine for 48 hours after burn</t>
  </si>
  <si>
    <t>Several interventions can provide support to a pediatric patient during a burn injury. Aggressive fluid resuscitation and nutritional support are paramount in the treatment of a burn patient. The nurse would also plan for early intubation with initial administration of 100% oxygen. Succinylcholine should be avoided for more than 48 hours after a burn due to the upregulation of acetylcholine receptors.</t>
  </si>
  <si>
    <t>The nurse is placing a hydrogel dressing on a patient with a wound. This type of dressing:</t>
  </si>
  <si>
    <t>Is nonabsorbent</t>
  </si>
  <si>
    <t>Promotes epithelialization</t>
  </si>
  <si>
    <t>Prevents wound contamination</t>
  </si>
  <si>
    <t>Is used for moderate-to-marked absorption</t>
  </si>
  <si>
    <t>Hydrogel is a nonadherent dressing. It is used on minimal exudative or dry wounds, partial- and full-thickness wounds, and burns. It provides pressure redistribution, promotes autolytic debridement and epithelialization, adds moisture, fills dead space, and is easy to remove. It is absorbent. Transparent polyurethane film contact layer and hydrocolloids prevent wound contamination. Dressings with moderate-to-marked absorption properties are hydrofiber and alginate dressings.</t>
  </si>
  <si>
    <t>The nurse is dressing a pressure ulcer that has minimal exudate. The nurse will use:</t>
  </si>
  <si>
    <t>Alginate</t>
  </si>
  <si>
    <t>Hydrofiber</t>
  </si>
  <si>
    <t>Hydrocolloid</t>
  </si>
  <si>
    <t>Polyurethane foam and composite</t>
  </si>
  <si>
    <t>Hydrocolloid dressings (such as gelatin or pectin) are used on minimal-to-moderate exudative wounds, pressure ulcers, and partial- and full-thickness wounds to promote autolytic debridement and pressure redistribution. Alginate and hydrofiber dressings are used on moderate-to-heavy exudative wounds; partial- and full-thickness wounds; and wounds that have dehisced, have become infected, or require packing. Polyurethane foam and composite dressings are used for moderate-to-heavy exudative wounds, partial- and full-thickness wounds, peristomal areas, pressure redistribution, and infected wounds.</t>
  </si>
  <si>
    <t>A newborn that presented as a frank breech during delivery has asymmetrical skin folds. Which of the following is the MOST likely treatment?</t>
  </si>
  <si>
    <t>Spica cast</t>
  </si>
  <si>
    <t>Pavlik harness</t>
  </si>
  <si>
    <t>Triple diapers</t>
  </si>
  <si>
    <t>Children who present in a frank breech position have a risk of developmental dysplasia of the hip (DDH) almost 20 times higher than that of children who have a cephalic presentation. If instituted early, the success of treatment with a Pavlik harness is greater than 90%. As the child ages and treatment is delayed, the prognosis worsens. For the child older than 6 months, a Pavlik harness cannot reliably treat DDH. These children require a spica cast to hold the hips in a flexed and abducted position. For the child older than 18 months, surgical correction is usually required. Surgery enables the removal of tissues that block reduction and positioning of the femoral head into the acetabulum under direct visualization. The use of triple diapers is no longer the recommended treatment for DDH.</t>
  </si>
  <si>
    <t>A 5-year-old White male patient presents with a painless limp and limited range of motion in the hip joint. Which of the following is the MOST likely treatment?</t>
  </si>
  <si>
    <t>Casting, traction, and crutches</t>
  </si>
  <si>
    <t>Casting, physical therapy, and traction</t>
  </si>
  <si>
    <t>Adduction bracing, traction, and crutches</t>
  </si>
  <si>
    <t>Physical therapy, traction, and crutches</t>
  </si>
  <si>
    <t>The patient likely has Legg-Calve-Perthes disease, which occurs when blood supply to the ball part (femoral head) of the hip joint is temporarily interrupted and the bone begins to die. This weakened bone gradually breaks apart and can lose its round shape. It can appear at any time between age 2 and 12 years, although it is most common in children age 4 to 8 years. Boys are four times more likely to be affected than girls. The disorder is most prevalent in White children and children of Chinese origin. Epidemiologic studies show an increased association with such factors as low birth weight, older parental age at conception, and lower socioeconomic status. HIV and short stature, as well as delayed bone maturation for age, are also risk factors. Treatment consists simply of protecting the joint by keeping the femoral head within the acetabulum. The goal of treatment is to reduce hip irritability, restore normal range of motion, and prevent subluxation or dislocation. Surgical intervention is sometimes required. Children should be kept non–weight bearing. Nonsurgical intervention includes physical therapy, traction, and crutches. Casts and abduction bracing have been used in an attempt to hold the femoral head in place while the disease runs its course, but studies have shown no benefit from this type of treatment.</t>
  </si>
  <si>
    <t>An adolescent patient presents with a severe pain in the hip, a visible deformity of the hip joint, and a refusal to bear weight. Which of the following is the MOST likely treatment?</t>
  </si>
  <si>
    <t>Casting, physical therapy, traction</t>
  </si>
  <si>
    <t>Surgery, walker, crutches</t>
  </si>
  <si>
    <t xml:space="preserve">The patient likely has slipped capital femoral epiphysis (SCFE), a hip condition that occurs in young adolescents who are still growing. For reasons that are not well understood, the ball at the head of the femur (thigh bone) slips off the neck of the bone in a backward fashion. Patients with SCFE present with pain in the knee, groin, thigh, or hip and a visible deformity. The pain may be mild or severe, depending on the severity of the slip. A limp is often noticed. Increased activity results in increased pain. SCFE requires surgery to stabilize the joint. In many cases, the surgeon will also stabilize the opposite hip due to the high risk of bilateral slippage. Postoperative care includes a walker, crutches, and a gradual return to normal activities. </t>
  </si>
  <si>
    <t>A 4-year-old patient is admitted for regression in gross motor skills. As the patient is walking to their room, the nurse observes a waddling gait. Which of the following is the MOST accurate statement about this patient's potential diagnosis?</t>
  </si>
  <si>
    <t>It occurs in males and increases the risk that death will occur between ages 18 and 22 years from cardiac or pulmonary failure.</t>
  </si>
  <si>
    <t>It occurs in females and increases the risk that death will occur between ages 18 and 22 years from cardiac or pulmonary failure.</t>
  </si>
  <si>
    <t>It occurs in males and increases the risk that death will occur between ages 10 and 18 years from cardiac or pulmonary failure.</t>
  </si>
  <si>
    <t>It occurs in females and increases the risk that death will occur between ages 10 and 18 years from cardiac or pulmonary failure.</t>
  </si>
  <si>
    <t>Duchenne muscular dystrophy (DMD) is a genetic disorder marked by muscular deterioration that progresses throughout childhood. Insidious onset occurs between ages 3 and 5 years. It occurs only in males because of a defect in the X chromosome. It begins with pelvic girdle weakness, which is assessed by a waddling gait and falling. Other assessment findings are cardiac or pulmonary failure, decreased ability to perform self-care activities, delayed and regressed motor development, eventual contractures and muscle hypertrophy, use of hands to push up from the floor when rising from a sitting or supine position, and toe walking. Complications may include death in the late teens to early 20s from cardiac and pulmonary failure.</t>
  </si>
  <si>
    <t>A child presents to the ED with forearm pain, refusal to move the arm, swelling, and bruising. The nurse's BEST action is to:</t>
  </si>
  <si>
    <t xml:space="preserve">Assess the 3 Ps </t>
  </si>
  <si>
    <t>Assess the 2 Ps</t>
  </si>
  <si>
    <t>Assess the 4 Ps</t>
  </si>
  <si>
    <t>Assess the 5 Ps</t>
  </si>
  <si>
    <t>All patients with a suspected fracture should be assessed for the 5 Ps: pain, pulse, pallor, paresthesia, and paralysis. After the assessment is complete, the nurse should immobilize the extremity and apply cold to the injured area.</t>
  </si>
  <si>
    <t>While assessing a patient post Norwood repair, the nurse notes an oxygen saturation of 75% and a loud murmur in the upper left chest. The nurse should:</t>
  </si>
  <si>
    <t xml:space="preserve">Document both findings as abnormal </t>
  </si>
  <si>
    <t xml:space="preserve">Document both findings as normal </t>
  </si>
  <si>
    <t xml:space="preserve">Document oxygen saturation as normal and murmur as abnormal </t>
  </si>
  <si>
    <t xml:space="preserve">Document murmur as normal and oxygen saturation as abnormal </t>
  </si>
  <si>
    <t>Post Norwood repair, deoxygenated and oxygenated blood continue to mix through the artificial shunt. A loud murmur and an oxygen saturation rate of 75% are normal.</t>
  </si>
  <si>
    <t>The nurse is caring for a child with juvenile idiopathic arthritis who is in pain. The child rates their pain level as a 7 out of 10. The nurse prepares to administer an oral dose of:</t>
  </si>
  <si>
    <t>Ibuprofen</t>
  </si>
  <si>
    <t>Aspirin</t>
  </si>
  <si>
    <t xml:space="preserve">Methotrexate </t>
  </si>
  <si>
    <t>Methylprednisolone</t>
  </si>
  <si>
    <t>Nonsteroidal anti-inflammatory drugs (NSAIDs) such as ibuprofen are prescribed to decrease inflammation and relieve pain in children with juvenile idiopathic arthritis. Although aspirin is an NSAID, it should not be used in children due the rare but serious risk of developing Reye syndrome. If NSAIDs fail, alternative medications can be used, including methotrexate, which has replaced gold salts as the second-line medication. Occasionally, local corticosteroid injection or joint replacement is required. Systemic corticosteroids such as oral methylprednisolone are not routinely used due to the high risk of side effects.</t>
  </si>
  <si>
    <t>An infant in the neonatal unit is wheezing with flaring of the nostrils. The infant's mother reports a history of cough and runny nose for 2 days. The infant’s oxygen saturation is 98% on room air. The most appropriate INITIAL nursing action is to:</t>
  </si>
  <si>
    <t>Administer corticosteroids</t>
  </si>
  <si>
    <t>Prepare patient for intubation</t>
  </si>
  <si>
    <t>Administer humidified oxygen</t>
  </si>
  <si>
    <t>Continue observation</t>
  </si>
  <si>
    <t>The infant is experiencing symptoms associated with acute bronchiolitis. Supportive management is most appropriate in this case. The nurse should administer humidified oxygen to assist with breathing. Corticosteroids are not generally used if the infant has no history or diagnosis of reactive airway disease (asthma). Intubation is not needed and would be used only if the infant was unresponsive to other treatments or cyanotic. Observation is required but will not assist the infant in the effort of breathing.</t>
  </si>
  <si>
    <t xml:space="preserve">Which medication is MOST likely to be prescribed for a 7-year-old patient with acute otitis media? </t>
  </si>
  <si>
    <t>Cefaclor</t>
  </si>
  <si>
    <t>Erythromycin</t>
  </si>
  <si>
    <t>Azithromycin</t>
  </si>
  <si>
    <t>Amoxicillin is the first line of therapy for the treatment of acute otitis media. Cefaclor is a second-generation cephalosporin and is not the first line of treatment for acute otitis media, unless the infection is caused by gram-positive cocci and gram-negative rods. Erythromycin is not prescribed as the first line of treatment for acute otitis media. Azithromycin can be administered as the first line of treatment for acute otitis media if amoxicillin is contraindicated.</t>
  </si>
  <si>
    <t>Irrigation of the ear canal to remove a foreign body is contraindicated for which of the following foreign bodies?</t>
  </si>
  <si>
    <t>Small toy part</t>
  </si>
  <si>
    <t>Insect</t>
  </si>
  <si>
    <t>Bean</t>
  </si>
  <si>
    <t>Eraser tip</t>
  </si>
  <si>
    <t>Certain types of foreign bodies (e.g., beans) absorb the irrigation solution, which causes them to swell and become more difficult to remove. Irrigation can usually dislodge other foreign bodies that do not absorb water, including eraser tips, small parts of toys, and insects.</t>
  </si>
  <si>
    <t>Which eye assessment finding differentiates uveitis from conjunctivitis?</t>
  </si>
  <si>
    <t>Pain</t>
  </si>
  <si>
    <t>Tearing</t>
  </si>
  <si>
    <t>Redness</t>
  </si>
  <si>
    <t>Pupil size</t>
  </si>
  <si>
    <t>Unlike conjunctivitis, uveitis causes pain in the affected eye. Both uveitis and conjunctivitis cause redness and tearing. Pupil size is not affected by either condition.</t>
  </si>
  <si>
    <t>A high-school football player has been diagnosed with infectious mononucleosis. What intervention must be completed before the patient can return to play?</t>
  </si>
  <si>
    <t>Antiviral course</t>
  </si>
  <si>
    <t>Strep culture</t>
  </si>
  <si>
    <t>A patient with infectious mononucleosis who plays a contact sport such as football should have an abdominal ultrasound before returning to play due to the risk of splenic rupture. Patients are not prescribed antivirals for mononucleosis because the condition needs to run its course, usually 4 to 6 weeks. Atypical lymphocytes would not necessarily prevent a patient from playing football but should be monitored until they are within normal limits. A strep culture would not be necessary unless the patient had symptoms.</t>
  </si>
  <si>
    <t>The nurse is preparing a 3-year-old patient for morning labs. The patient was admitted for suspected child abuse due to multiple broken bones. The parents claim that the child has “brittle bones” and state that they do not abuse their child. The nurse anticipates that which of the following labs will MOST likely be ordered?</t>
  </si>
  <si>
    <t>Serum calcium, phosphorus, alkaline phosphatase</t>
  </si>
  <si>
    <t>Serum calcium, potassium, lumbar puncture</t>
  </si>
  <si>
    <t>Serum calcium, phosphorus, potassium</t>
  </si>
  <si>
    <t>Disseminated intravascular coagulation panel</t>
  </si>
  <si>
    <t>Some bone diseases can lead to “brittle bones” and frequent fractures in different healing stages. The healthcare team should investigate all possible medical causes before concluding that the patient is being abused. Lab work would most likely include serum calcium, phosphorus, and alkaline phosphatase. A disseminated intravascular coagulation panel measures bleeding and clotting times. Lumbar puncture would be performed to test for infection. Potassium levels do not correlate with bone diseases.</t>
  </si>
  <si>
    <t>Musculoskeletal System</t>
  </si>
  <si>
    <t>A 5-year-old patient is brought into the office by their father for a routine wellness check during the summer. The child has a burn mark on their right palm that is shaped like a square. The nurse's BEST action is to:</t>
  </si>
  <si>
    <t>Alert local authorities to suspected child abuse</t>
  </si>
  <si>
    <t>Treat the child for bacterial skin infection</t>
  </si>
  <si>
    <t>Refer the patient to the ED</t>
  </si>
  <si>
    <t>Educate the father on the burn wound and discharge with a scheduled follow-up</t>
  </si>
  <si>
    <t>Children can present with burn wounds on the palms for multiple reasons. Given the location and shape of the burn and the fact that it is summer, the nurse suspects that the child was burned with a seatbelt buckle. Seatbelt buckles can become extremely hot in direct sunlight and can easily burn the skin of a child. The nurse should care for the wound, educate the father on the potential source of the burn and how to avoid similar burns in the future, and schedule a follow-up.</t>
  </si>
  <si>
    <t>Abuse</t>
  </si>
  <si>
    <t>The nurse is caring for a child whose weight falls below the 10th percentile and whose length is below the 5th percentile. The plan of care would MOST likely include:</t>
  </si>
  <si>
    <t>Nutritional rehabilitation such as offering solid food before liquids</t>
  </si>
  <si>
    <t>Placement of a central line for parenteral nutrition</t>
  </si>
  <si>
    <t>Insertion of a percutaneous endoscopic gastrostomy tube</t>
  </si>
  <si>
    <t>Intravenous fluid hydration and protein shakes</t>
  </si>
  <si>
    <t>A child with failure to thrive should first be managed with oral nutritional rehabilitation. This includes offering the child high-calorie solid foods prior to offering liquid preparations. Initial management would not include central line placement for parenteral (or intravenous) nutrition; this would be initiated if oral rehabilitation were not successful. A percutaneous endoscopic gastrostomy tube would not be placed initially. If the child is able to chew and swallow food, the oral route should not be bypassed. The use of intravenous fluid hydration and protein shakes would not provide the child with enough calories to gain weight.</t>
  </si>
  <si>
    <t>Which medication is MOST likely to be prescribed to a 12-year-old patient diagnosed with tinea corporis?</t>
  </si>
  <si>
    <t>Mupirocin</t>
  </si>
  <si>
    <t>Metronidazole</t>
  </si>
  <si>
    <t>Itraconazole</t>
  </si>
  <si>
    <t>Tinea corporis, also known as ringworm, is a superficial fungal infection (dermatophytosis) generally located on the arms and legs. Itraconazole is an oral antifungal used to treat this infection. Erythromycin, mupirocin, and metronidazole are antibiotics used to treat bacterial infections and are generally ineffective in the treatment of fungal infections.</t>
  </si>
  <si>
    <t>The nurse is performing an assessment on a 3-month-old infant. The infant's 16-year-old mother notes that she recently dropped out of school and is staying at a male friend's apartment because her parents kicked her out of the house. Which of the following is the MOST accurate statement regarding this situation?</t>
  </si>
  <si>
    <t>The infant is at increased risk of cognitive delay.</t>
  </si>
  <si>
    <t>The mother is at increased risk of becoming an abuser.</t>
  </si>
  <si>
    <t>The mother is at increased risk of becoming a victim of sexual violence.</t>
  </si>
  <si>
    <t>The infant is at increased risk of malnutrition.</t>
  </si>
  <si>
    <t>The mother is at increased risk of becoming an abuser toward the infant due to the following factors: young age, lack of a family support system, low education level, and being a new mother. There is not enough information to indicate that the child is at increased risk of cognitive delay or malnutrition. While the mother is staying with a male friend, the nurse cannot assume that the mother is at increased risk of becoming a victim of sexual violence.</t>
  </si>
  <si>
    <t>The nurse is assessing a patient who presents with bright red, pruritic, crusty, and painful lesions. The parent notes that the child developed the rash after playing in the yard over the weekend. The nurse anticipates that the patient will MOST likely be referred to which of the following specialists?</t>
  </si>
  <si>
    <t>Allergist</t>
  </si>
  <si>
    <t>Hematologist</t>
  </si>
  <si>
    <t>Rheumatologist</t>
  </si>
  <si>
    <t>Dermatologist</t>
  </si>
  <si>
    <t>The nurse suspects that the patient developed contact dermatitis after exposure to an allergen such as poison ivy. The patient will likely be referred to an allergist for patch testing. Because the diagnosis is contact dermatitis, a referral to a dermatologist is not necessary unless the rash does not resolve after treatment. A hematologist specializes in blood disorders, and a rheumatologist specializes in musculoskeletal conditions.</t>
  </si>
  <si>
    <t>While assessing a 3-year-old female patient during a wellness visit, the nurse notices blood in the child's underwear. Which of the following is the MOST accurate statement about this finding?</t>
  </si>
  <si>
    <t>It is a sign of neglect.</t>
  </si>
  <si>
    <t>It is a sign of physical abuse.</t>
  </si>
  <si>
    <t>It is a normal variant in girls due to hormone imbalances.</t>
  </si>
  <si>
    <t>It is a sign of sexual abuse.</t>
  </si>
  <si>
    <t>A 3-year-old girl should not have vaginal discharge or bleeding. Blood on undergarments, unusual odor in the genital area, and difficulty walking or sitting are all signs of sexual abuse in a patient of this age. Physical signs of abuse include bruises that resemble known objects, burn marks, and bruises and fractures in different stages of healing. Inadequate clothing and poor hygiene are two examples of possible signs of neglect.</t>
  </si>
  <si>
    <t>A parent asks the nurse why their newborn son cannot breathe through the mouth when the nose is congested. The nurse's BEST response is:</t>
  </si>
  <si>
    <t>"You must open the infant's mouth to allow them to breathe."</t>
  </si>
  <si>
    <t>"Infants copy what they see, so you should breathe through your mouth to show the baby."</t>
  </si>
  <si>
    <t>"Infants breathe only through the nose until the age of 3 to 4 months."</t>
  </si>
  <si>
    <t>"Your child may have an oral defect that prevents breathing through the mouth."</t>
  </si>
  <si>
    <t>Infants breathe through their nose, even when congested, because they have not yet developed the ability to breathe through their mouths. That reflex typically develops at age 3 to 4 months. It is important to facilitate easier breathing by suctioning the infant’s nose if it is congested. The parent should not open the infant’s mouth to facilitate breathing. Infants do not have the ability to copy actions at this age, so there is no need for the parent to demonstrate the action. There are no indications that the newborn has an oral defect.</t>
  </si>
  <si>
    <t>Respiratory System</t>
  </si>
  <si>
    <t>A child with a history of recurrent adenoiditis and sinusitis is a candidate for which surgery?</t>
  </si>
  <si>
    <t>Tonsillectomy</t>
  </si>
  <si>
    <t>Adenoidectomy</t>
  </si>
  <si>
    <t>Thyroidectomy</t>
  </si>
  <si>
    <t>Endoscopy</t>
  </si>
  <si>
    <t>The patient is a candidate for an adenoidectomy, which is the removal of the adenoids. Palatine tonsils are removed during a tonsillectomy. Endoscopy is a diagnostic procedure that examines the esophagus and stomach. A thyroidectomy is the removal of all or part of the thyroid gland.</t>
  </si>
  <si>
    <t>When assessing the eyes of an infant with an ophthalmoscope, the nurse notes a white reflex, which indicates:</t>
  </si>
  <si>
    <t>Retinoblastoma</t>
  </si>
  <si>
    <t>A normal finding</t>
  </si>
  <si>
    <t>An eye infection</t>
  </si>
  <si>
    <t>Keratitis</t>
  </si>
  <si>
    <t>Retinoblastoma, a malignant tumor of the retina, presents as a white reflex instead of the normal red reflex. It is an important finding that requires immediate referral to an ophthalmologist. It is not a normal finding or a sign of infection. Keratitis is an inflammation of the cornea.</t>
  </si>
  <si>
    <t>The nurse is caring for a 6-year-old patient with severe bacterial sinusitis and vomiting. The patient weighs 23 kg and has a nonsevere penicillin allergy. The nurse will prepare to administer which of the following?</t>
  </si>
  <si>
    <t>Ceftriaxone</t>
  </si>
  <si>
    <t>Cefdinir</t>
  </si>
  <si>
    <t>Amoxicillin/clavulanate</t>
  </si>
  <si>
    <t>Antibiotics should be prescribed for children with severe, worsening, or persistent acute bacterial sinusitis. Children with hypersensitivity to penicillin can be treated with cefdinir. Either amoxicillin or amoxicillin/clavulanate can be used as the first-line treatment in patients who do not have a penicillin allergy. Ceftriaxone IM can be given to children who are vomiting, who are unable take oral medications, or who do not have a penicillin allergy.</t>
  </si>
  <si>
    <t>A child is admitted with blunt trauma to the abdomen following a motor vehicle crash. The nurse will monitor for:</t>
  </si>
  <si>
    <t>Anaphylactic reaction</t>
  </si>
  <si>
    <t>Hemorrhage</t>
  </si>
  <si>
    <t>Laryngospasm</t>
  </si>
  <si>
    <t>Pulmonary edema</t>
  </si>
  <si>
    <t>Uncontrollable hemorrhage is the most frequent cause of early death in trauma patients. Hemorrhage is a common complication with blunt trauma to the abdomen. Massive hemorrhage may be exacerbated by coagulopathy early after trauma and may transition to critical bleeding that does not respond to surgical hemostasis. An anaphylactic reaction is not associated with blunt trauma to the abdomen. Laryngospasm is the sustained closure of the vocal cords resulting in the partial or complete loss of the patient's airway. Pulmonary edema can develop if excessive fluids/blood products are administered to a hemorrhaging patient.</t>
  </si>
  <si>
    <t>A parent brings their child into the clinic, reporting that the child passed out during recess. The child complains of dizziness when exercising, has frequent headaches, and has fainted multiple times over the last 3 months. Which task should the nurse perform FIRST?</t>
  </si>
  <si>
    <t>Pain scale</t>
  </si>
  <si>
    <t>Vision test</t>
  </si>
  <si>
    <t>Four-extremity blood pressure</t>
  </si>
  <si>
    <t>Electrocardiogram</t>
  </si>
  <si>
    <t>The child has the classic symptoms of coarctation of the aorta. Initial assessment includes a four-extremity blood pressure measurement to aid the diagnosis. A blood pressure gradient is evident in these patients, with the upper-extremity blood pressure being 20 mmHg higher than that of the lower extremities. A pain scale and a vision test would not be beneficial in this case. An electrocardiogram is not critical for the diagnosis of coarctation of the aorta.</t>
  </si>
  <si>
    <t>Cardiovascular System</t>
  </si>
  <si>
    <t>Which of the following is the MOST appropriate intervention for a 2-year-old patient who has not received the measles, mumps, and rubella (MMR) vaccine?</t>
  </si>
  <si>
    <t>Administer two doses 4 weeks apart</t>
  </si>
  <si>
    <t>Administer one dose and then evaluate the patient’s immunity</t>
  </si>
  <si>
    <t>Administer one dose now and a second dose at age 4 years</t>
  </si>
  <si>
    <t>Administer two doses 4 weeks apart and then evaluate the patient's immunity</t>
  </si>
  <si>
    <t>The most appropriate intervention is to administer two doses 4 weeks apart. Administering one dose of the MMR vaccine is not sufficient. It is not necessary to evaluate the patient’s immunity after administering any dose of the MMR vaccine.</t>
  </si>
  <si>
    <t>A child was diagnosed with eczema and managed with an over-the-counter 1% hydrocortisone ointment. During a follow-up visit, the parent reports that the rash does not seem to be improving. The nurse anticipates that the patient will be prescribed which level of steroid?</t>
  </si>
  <si>
    <t>Group 6</t>
  </si>
  <si>
    <t>Group 5</t>
  </si>
  <si>
    <t>Group 4</t>
  </si>
  <si>
    <t>Group 3</t>
  </si>
  <si>
    <t>Topical steroid strengths range from 7 (least potent) to 1 (very potent). The patient is currently using a Group 7 steroid. The patient will likely be prescribed a Group 6 steroid such as desonide cream or lotion (0.05%). Children have more delicate skin than adults, so they should not use topical steroids for more than 2 weeks.</t>
  </si>
  <si>
    <t>The nurse is assessing a child with dyspnea, tachypnea, bibasilar crackles, and a new mitral heart murmur with chest pain. Which of the following is the MOST accurate statement based on these findings?</t>
  </si>
  <si>
    <t>Strict bedrest is indicated for approximately 5 weeks.</t>
  </si>
  <si>
    <t>Surgery will be required.</t>
  </si>
  <si>
    <t>Normal activities may be resumed when the child feels better.</t>
  </si>
  <si>
    <t>Surgery will not be required.</t>
  </si>
  <si>
    <t>The patient's signs and symptoms are indicative of active carditis as a result of rheumatic fever. A patient with active carditis should remain on bedrest for approximately 5 weeks to reduce cardiac demand, even if the patient feels better.</t>
  </si>
  <si>
    <t>Which of the following interventions is MOST appropriate for a 16-year-old patient who has never had a human papillomavirus (HPV) vaccination?</t>
  </si>
  <si>
    <t>Administer two doses 12 months apart</t>
  </si>
  <si>
    <t>Administer three doses over 6 months</t>
  </si>
  <si>
    <t>Administer three doses 6 months apart</t>
  </si>
  <si>
    <t>Administer two doses 3 months apart</t>
  </si>
  <si>
    <t>Adolescent patients older than 15 years who have never received the HPV vaccine should be administered three doses of the vaccine over 6 months. The Centers for Disease Control and Prevention do not recommend two doses of the HPV vaccine 12 months apart, three doses 6 months apart, or two doses 12 months apart for patients who have never had the HPV vaccination.</t>
  </si>
  <si>
    <t>Which of the following terms describes teeth that may be present in a 3-day-old infant?</t>
  </si>
  <si>
    <t>Cleft palate</t>
  </si>
  <si>
    <t>Bony defect</t>
  </si>
  <si>
    <t>Natal teeth</t>
  </si>
  <si>
    <t>Natal teeth, which are teeth present when the infant is born, require intervention while the child is still in the hospital. Typically, these teeth are pulled because the risk for aspiration is high if the teeth are left to fall out on their own. Epstein pearls are whitish-yellow cysts that form on the gums and roof of the mouth in newborn babies. Bony defect can be categorized as an excess growth of the bones. Cleft palate is an opening in the roof of the mouth.</t>
  </si>
  <si>
    <t>The nurse notices that a child in the waiting room is sitting in a tripod position and drooling. The nurse recognizes that the MOST likely cause is:</t>
  </si>
  <si>
    <t>Mononucleosis</t>
  </si>
  <si>
    <t>Severe strep throat</t>
  </si>
  <si>
    <t>Infection of the epiglottis</t>
  </si>
  <si>
    <t>Asthma</t>
  </si>
  <si>
    <t>An infection of the epiglottis can rapidly progress into a medical emergency due to airway closure. Children usually complain of a sudden sore throat that typically develops overnight, have excessive drooling due to the sore throat, and sit in a tripod position with the chin thrust out to aid breathing. Epiglottitis is a medical emergency that requires immediate treatment. Severe strep throat will present with erythematous throat and complaints of sore throat that has worsened over a few days. Mononucleosis presents with fatigue, possible sore throat, and swollen anterior lymph nodes. Asthma presents with difficulty breathing and wheezing.</t>
  </si>
  <si>
    <t>Of the following, which is the MOST common cause of nosebleeds in children?</t>
  </si>
  <si>
    <t>Sinus infection</t>
  </si>
  <si>
    <t>Malformed nasal bridge</t>
  </si>
  <si>
    <t>Iron-deficiency anemia</t>
  </si>
  <si>
    <t>Nose picking</t>
  </si>
  <si>
    <t>Epistaxis, or nosebleeds, are more common in children age 3 to 8 years. The most common cause is idiopathic, followed by epistaxis digitorum (nose picking), foreign objects, and chronic or acute sinus infections. Malformed nasal bridge and iron-deficiency anemia are less common causes that are more often present in adults.</t>
  </si>
  <si>
    <t>A typically developing 6-month-old patient would be expected to:</t>
  </si>
  <si>
    <t>Self-feed with a spoon</t>
  </si>
  <si>
    <t>Sit without support</t>
  </si>
  <si>
    <t>Play a clapping game</t>
  </si>
  <si>
    <t>Say more than two words</t>
  </si>
  <si>
    <t>An infant should be able to sit unsupported by age 6 months. By 17 months, a toddler should be able to self-feed with a spoon. A 10-month-old child should be able to play patty-cake or a clapping game. A 15-month-old child should be able to say more than two words.</t>
  </si>
  <si>
    <t>The nurse is caring for a teenage patient diagnosed with infectious mononucleosis. The patient asks what they can do to reduce the pain of pharyngitis. The nurse's BEST response is:</t>
  </si>
  <si>
    <t>"Drink ice-cold water daily."</t>
  </si>
  <si>
    <t>"Gargle with warm salt water."</t>
  </si>
  <si>
    <t>"Be patient; it will take time to heal."</t>
  </si>
  <si>
    <t>"Avoid savory foods, which can irritate the throat."</t>
  </si>
  <si>
    <t>Pharyngitis is one of the most common symptoms of infectious mononucleosis. To help ease the symptoms, the individual can gargle with warm salt water and take acetaminophen, throat lozenges, and other supportive care measures as needed. Eating a balanced diet with extra fluids will also aid in healing, but ice-cold water will irritate the throat further. Eating either sweet or savory foods has not been shown to have significant effect.</t>
  </si>
  <si>
    <t>The nurse is assessing a 5-year-old patient for growth and development milestones. The finding that is MOST concerning to the nurse is that the patient cannot:</t>
  </si>
  <si>
    <t>Tie their shoes</t>
  </si>
  <si>
    <t>Copy a square</t>
  </si>
  <si>
    <t>Draw a person with two parts</t>
  </si>
  <si>
    <t>Cannot draw a person with two parts</t>
  </si>
  <si>
    <t>A 5-year-old child should be able to draw a person with four parts; a 4-year-old child should be able to draw a person with two parts. Tying shoes and copying a triangle are advanced fine motor skills typical of a 6-year-old child. Inability to copy a square would not be concerning at this point as it is a 5-year-old milestone. The child may not have developed this skill yet, but may do so before the age of 6 years.</t>
  </si>
  <si>
    <t>The nurse is assessing an adolescent patient who was hit in the right ankle by a softball. The most appropriate INITIAL nursing action is to:</t>
  </si>
  <si>
    <t>Apply heat to the ankle</t>
  </si>
  <si>
    <t>Apply a cold pack to the ankle</t>
  </si>
  <si>
    <t>Administer ibuprofen</t>
  </si>
  <si>
    <t>Instruct the patient to stretch the ligaments</t>
  </si>
  <si>
    <t>Applying cold packs will help to alleviate local pain, swelling, and bruising. Heat is not used initially after injury because it can dilate the blood vessels, causing increased bruising and pain. Ibuprofen would not be a priority action at this time. The patient should not stretch or walk on the injured foot or ankle until serious injury is ruled out.</t>
  </si>
  <si>
    <t>A physician asks the nurse to “check” a patient for strep throat. The nurse does this by:</t>
  </si>
  <si>
    <t>Shining a light in the child’s throat to look for infection</t>
  </si>
  <si>
    <t>Swabbing the tonsils and posterior pharyngeal wall with a rapid antigen test</t>
  </si>
  <si>
    <t>Collecting a throat culture from the patient</t>
  </si>
  <si>
    <t>Conducting a thorough health history</t>
  </si>
  <si>
    <t>A rapid antigen strep test should be performed in children with suspected strep throat (pharyngitis). This swab should be taken from the tonsils and posterior pharyngeal wall for accurate testing. It is important to correctly test and diagnose strep throat to avoid complications such as rheumatic fever. Shining a light in the throat will illuminate any abnormalities, but it is not diagnostic for strep throat. A health history is not diagnostic for strep throat.</t>
  </si>
  <si>
    <t>A new parent is concerned that their 4-week-old child did not receive all required immunizations in the hospital. The nurse's MOST appropriate response is:</t>
  </si>
  <si>
    <t>"The only immunization that is administered in the hospital is the MMR vaccine, so your infant is current."</t>
  </si>
  <si>
    <t>"Your infant should have received the first dose of the varicella vaccine and will receive the second dose in 6 months."</t>
  </si>
  <si>
    <t>"The DTaP vaccine should have been administered before your infant left the hospital, and the remainder of the immunizations will be administered here in the office.”</t>
  </si>
  <si>
    <t>"Hepatitis B is the only immunization administered at birth, with a second dose administered at 1 month. We will take care of that during today's visit."</t>
  </si>
  <si>
    <t>Hepatitis B is the only immunization administered at birth. Boosters are given 1 and 6 months after the initial dose. The MMR (measles, mumps, rubella) immunization is administered at 12 months; varicella is administered at 12 months; and DTaP (diphtheria, tetanus, acellular pertussis) is administered at 2, 4, 6, and 15 to 18 months and at 4 to 6 years.</t>
  </si>
  <si>
    <t>The nurse is caring for a 13-year-old patient who sprained their right ankle during a tennis match. Which of the following is MOST likely to be included in the patient's treatment plan?</t>
  </si>
  <si>
    <t>Heat, compression, analgesics, and exercise</t>
  </si>
  <si>
    <t>Rest, heat, compression, and elevation</t>
  </si>
  <si>
    <t>Rest, ice, compression, and elevation</t>
  </si>
  <si>
    <t>Exercise, ice, compression, and elevation</t>
  </si>
  <si>
    <t>A method for remembering the treatment for strains, contusions, and sprains is the mnemonic RICE, which refers to Rest, Ice, Compression, and Elevation. Analgesics and nonsteroidal anti-inflammatory drugs may be prescribed to ease discomfort, but full use of the injured joint is temporarily discouraged.</t>
  </si>
  <si>
    <t>Which of the following is the BEST approach to the management of obesity?</t>
  </si>
  <si>
    <t>Prevention</t>
  </si>
  <si>
    <t>Low-fat diet</t>
  </si>
  <si>
    <t>Low-calorie diet</t>
  </si>
  <si>
    <t>Avoidance of sugar</t>
  </si>
  <si>
    <t>The best approach to the management of obesity is a preventive one. Early recognition and control measures may be implemented.</t>
  </si>
  <si>
    <t>Endocrine System</t>
  </si>
  <si>
    <t>The physician may order an enema to resolve the condition.</t>
  </si>
  <si>
    <t>The intussusception has spontaneously resolved.</t>
  </si>
  <si>
    <t xml:space="preserve">Intussusception occurs when a portion of the intestine telescopes into an adjacent part, leading to obstruction. This condition typically causes severe abdominal pain, vomiting, and the passage of "currant jelly" stools (which are a mix of blood and mucus). When a child with intussusception passes a normal brown stool, it usually signifies that the intestinal obstruction has spontaneously resolved and that the normal function of the intestines has returned. The nurse should report this to the physician immediately, so that the diagnostic and therapeutic care plan can be adjusted, if required. Enemas are often used to diagnose or treat intussusception, but if the condition has already resolved, the physician will not likely order another. Surgery is usually required only if the intussusception persists following more conservative treatment or if there are complications, such as perforation or ischemia. However, if the child has passed brown stool, the condition has likely already resolved, making an enema unnecessary. There is always potential for misdiagnosis, but spontaneous resolution is more likely to have occurred in this situation. </t>
  </si>
  <si>
    <t>An 8-year old patient has a partial-thickness circumferential (360-degree) burn to the right arm up to the top of the bicep. This burn constitutes which percentage of total body surface area (TBSA)?</t>
  </si>
  <si>
    <t>9%</t>
  </si>
  <si>
    <t>4.5%</t>
  </si>
  <si>
    <t>18%</t>
  </si>
  <si>
    <t>13.5%</t>
  </si>
  <si>
    <t>A circumferential burn of one entire arm in an 8-year-old patient would constitute 9% of TBSA. A circumferential burn of both arms in an 8-year-old patient would constitute 18% of TBSA. A burn covering one side of the arm only would constitute 4.5% of TBSA.</t>
  </si>
  <si>
    <t>Which of the following is considered a normal heart sound in children?</t>
  </si>
  <si>
    <t>Summation gallop</t>
  </si>
  <si>
    <t>S4 heart sound</t>
  </si>
  <si>
    <t>Mitral valve prolapse click</t>
  </si>
  <si>
    <t>S3 heart sound</t>
  </si>
  <si>
    <t>The S3 heart sound is considered a normal finding in children, pregnant people, and some athletes. A summation gallop is a pathological finding where all the heart sounds (S1 through S4) are heard in a row. The S4 sound is considered a normal finding in older adults when left ventricle stenosis is present, but it is not a normal finding in children. Mitral valve prolapse causes a murmur that begins right after a mid-systolic click and runs to the end of systole. The murmur is caused by blood backing up into the left atrium.</t>
  </si>
  <si>
    <t>When examining a 10-year-old patient, the nurse will auscultate the point of maximal impulse (PMI) at the:</t>
  </si>
  <si>
    <t>Left fourth intercostal space, mid-clavicular line of chest</t>
  </si>
  <si>
    <t>Right fourth intercostal space, mid-clavicular line of chest</t>
  </si>
  <si>
    <t>Right fifth intercostal space, mid-clavicular line of chest</t>
  </si>
  <si>
    <t>Left fifth intercostal space, mid-clavicular line of chest</t>
  </si>
  <si>
    <t>The heart is located on the left side of the sternum. The loudest point of the heartbeat is heard at the left ventricle. To auscultate the loudest heart sound (apical pulse) in a child older than 7 years, the nurse will place the stethoscope at the left side of the chest, at the mid-clavicular line down to the fifth intercostal space.</t>
  </si>
  <si>
    <t>While assessing a child with asthma, the nurse notes white spots on the tongue and the inside of the mouth. Which of the following is the MOST appropriate guidance to prevent this condition in the future?</t>
  </si>
  <si>
    <t>Use a spacer with inhaled steroids</t>
  </si>
  <si>
    <t>Decrease use of inhaled steroids</t>
  </si>
  <si>
    <t>Use nebulizers three times a day</t>
  </si>
  <si>
    <t>Use sensitive toothpaste and mouthwash</t>
  </si>
  <si>
    <t>Aero chambers, or spacers, are recommended for use with inhalers. This increases the delivery of the medication, as well as minimizes risk of overgrowth of oral candidiasis (oral thrush), which can result from oral use of steroids and associated depression of the immune system. Oral thrush symptoms include white spots on the tongue and inside of the mouth. Nebulizers will not help to prevent oral thrush, nor will sensitive toothpaste and mouthwash.</t>
  </si>
  <si>
    <t>Which of the following is a sign that a 5-year-old patient's status is improving after an asthmatic exacerbation?</t>
  </si>
  <si>
    <t>Skin appears erythemic.</t>
  </si>
  <si>
    <t>Child appears to be sleeping.</t>
  </si>
  <si>
    <t>Wheezing breath sounds are auscultated.</t>
  </si>
  <si>
    <t>Respirations notably decrease.</t>
  </si>
  <si>
    <t>Wheezing breath sounds indicate that air is moving through the lungs. A decrease in respirations or the patient appearing to be sleeping could indicate that the patient is experiencing lack of oxygen. Erythemic skin is not related to the asthma episode.</t>
  </si>
  <si>
    <t>The nurse is caring for a patient with epistaxis. The most appropriate INITIAL nursing action is to:</t>
  </si>
  <si>
    <t>Pinch the patient's nares for 5 minutes</t>
  </si>
  <si>
    <t>Pack the patient's nares for 10 minutes</t>
  </si>
  <si>
    <t>Pinch the bridge of the patient's nose for 10 minutes</t>
  </si>
  <si>
    <t>Place a cool cloth on the back of the patient's neck for 5 minutes</t>
  </si>
  <si>
    <t>Most anterior nasal bleeds respond to pressure. The nurse's best action is to pinch the nares together for a full 5 minutes with the child sitting upright and leaning forward to prevent swallowing of blood. If pinching the nares for 5 minutes does not work, the nurse should pack the nares. Pinching the bridge of the nose is an inappropriate action since it does not apply pressure to the inside of the nose. Placing a cool cloth on the back of the patient's neck is not an effective management strategy for a nosebleed.</t>
  </si>
  <si>
    <t>While assessing a 1-month-old patient, the nurse notes nine café-au-lait spots that are larger than 5 mm. The nurse anticipates that the patient will MOST likely be referred to which of the following specialists?</t>
  </si>
  <si>
    <t>Oncologist</t>
  </si>
  <si>
    <t>Neurologist</t>
  </si>
  <si>
    <t>Cardiologist</t>
  </si>
  <si>
    <t>Café-au-lait spots are flat, light- to dark-brown spots. If an infant has six or more spots larger than 5 mm in diameter, neurofibromatosis (von Recklinghausen disease) should be ruled out. The patient will be referred to a neurologist for further assessment. Although the spots appear on the skin, the patient should not be referred to a dermatologist. Café-au-lait spots are not a sign of cancer, so the patient does not require a referral to an oncologist, nor is there a need for a cardiac referral.</t>
  </si>
  <si>
    <t>The nurse is assessing a 5-month-old infant admitted for apnea. The parent mentions that their parents visited 15 days ago from out of town. The nurse's MOST relevant follow-up question is:</t>
  </si>
  <si>
    <t>"Did either grandparent have a persistent cough?"</t>
  </si>
  <si>
    <t>"Did either grandparent have a runny nose?"</t>
  </si>
  <si>
    <t>"Does either grandparent smoke?"</t>
  </si>
  <si>
    <t>"Did either grandparent have a fever?"</t>
  </si>
  <si>
    <t>It is possible that the patient has pertussis. Infants age 6 months or younger often present with apnea, rather than the typical cough. Symptoms of pertussis can occur up to 3 weeks after exposure, so the nurse should ask the parent if either grandparent had a cough when they visited. Runny nose and fever are less common signs and symptoms of pertussis; asking about persistent cough is most important. Secondhand smoke would not cause apnea.</t>
  </si>
  <si>
    <t>Which antibiotic is the first-line treatment for an unvaccinated infant diagnosed with pertussis?</t>
  </si>
  <si>
    <t>Penicillin</t>
  </si>
  <si>
    <t>Macrolide</t>
  </si>
  <si>
    <t>Cephalosporin</t>
  </si>
  <si>
    <t>Quinolone</t>
  </si>
  <si>
    <t>The first-line antibiotic treatment for an infant with pertussis is a macrolide (e.g., azithromycin, erythromycin, clarithromycin). Penicillin is indicated for strep throat and otitis media. Cephalosporin is appropriate for gram-positive cocci bacteria. Quinolones are effective against gram-negative and atypical bacteria.</t>
  </si>
  <si>
    <t>Which of the following is the MOST common cause of respiratory illness in otherwise healthy children?</t>
  </si>
  <si>
    <t>Cat dander</t>
  </si>
  <si>
    <t>Secondhand smoke</t>
  </si>
  <si>
    <t>Dust mites</t>
  </si>
  <si>
    <t>Cockroaches</t>
  </si>
  <si>
    <t>Children exposed to secondhand passive or environmental tobacco smoke have increased risk and incidence of respiratory illnesses and symptoms, as well as poorer performance on pulmonary function tests. Dust mites, cockroaches, and cat dander are common household allergens that may exacerbate asthma, but they are not a common cause of respiratory illness in otherwise healthy children.</t>
  </si>
  <si>
    <t>What anatomic structure of the upper respiratory tract helps to filter air?</t>
  </si>
  <si>
    <t>Nose</t>
  </si>
  <si>
    <t>Cilia</t>
  </si>
  <si>
    <t>Oropharynx</t>
  </si>
  <si>
    <t>Pharynx</t>
  </si>
  <si>
    <t>The nose and nasal passages serve as a conduit for air to move in and out of the lungs. They are lined with ciliated mucous membranes that filter, warm, and moisten the air. The pharynx is a muscular tube that connects the nasal cavities to the larynx and esophagus. The oropharynx is the middle compartment of the pharynx, which includes the tonsils, tongue base, soft palate, and pharyngeal walls.</t>
  </si>
  <si>
    <t>The nurse is reviewing a 5-year-old patient’s immunization record, which includes DTaP, IPV, and influenza vaccines. The nurse will prepare to administer which additional immunization during this visit?</t>
  </si>
  <si>
    <t>Hepatitis A</t>
  </si>
  <si>
    <t>Rotavirus</t>
  </si>
  <si>
    <t>MMR</t>
  </si>
  <si>
    <t>PPSV</t>
  </si>
  <si>
    <t>Children age 4 to 6 years should receive the DTaP (diphtheria, tetanus, acellular pertussis), IPV (inactivated poliovirus), MMR (measles, mumps, rubella), varicella, and influenza vaccines. The hepatitis A vaccine is recommended for children age 12 to 23 months. The rotavirus vaccine series must be started by age 6 weeks and completed by age 32 weeks. PPSV (pneumococcal polysaccharide vaccine) is administered at this age only if the child has a high-risk condition.</t>
  </si>
  <si>
    <t>Which medication is MOST likely to be prescribed for a 3-year-old with nasal obstruction caused by a rhinovirus?</t>
  </si>
  <si>
    <t>Antiviral</t>
  </si>
  <si>
    <t>Decongestant</t>
  </si>
  <si>
    <t>Corticosteroid</t>
  </si>
  <si>
    <t>Decongestants and antihistamines help relieve nasal obstruction caused by a rhinovirus. Antiviral drugs are not used to treat a rhinovirus. Corticosteroids have no effect on the symptoms of rhinovirus and may cause viral replication. Acetaminophen is used to treat a fever or body aches and pains.</t>
  </si>
  <si>
    <t>A 12-year-old patient presents to the ED with right upper quadrant pain and tenderness, increased girth, confusion, and pallor following a motor vehicle collision. The nurse should recognize the patient is MOST likely experiencing injury to the:</t>
  </si>
  <si>
    <t>Spleen</t>
  </si>
  <si>
    <t>Liver</t>
  </si>
  <si>
    <t>Pancreas</t>
  </si>
  <si>
    <t>Hepatic injuries have the highest mortality rate in pediatric abdominal trauma. The child may present with symptoms of right upper quadrant pain and tenderness, abdominal pain and tenderness, increased girth, and signs of hypovolemic shock. A patient with a spleen injury presents with pain and tenderness in the upper left quadrant and left shoulder pain. Kidney injury presents with a dull ache, tenderness, decreased urine, blood in the urine, and skin bruising. Pancreatic injury presents with either widespread abdominal pain or pain in the upper middle part of the abdomen, bruising, nausea, vomiting, and difficulty breathing.</t>
  </si>
  <si>
    <t>Which of the following is an example of a minimum criterion for activation of the pediatric trauma team to treat an 8-year-old patient?</t>
  </si>
  <si>
    <t>Gunshot wound to the calf</t>
  </si>
  <si>
    <t>Glasgow Coma Scale score &lt;10</t>
  </si>
  <si>
    <t>Systolic blood pressure &lt;70 mmHg</t>
  </si>
  <si>
    <t>Transfer from another hospital</t>
  </si>
  <si>
    <t>Minimum criteria for activation of the pediatric trauma team are hypotension by age criteria (systolic blood pressure &lt;70 mmHg in an 8-year-old patient); gunshot wound to the neck, chest, abdomen, or extremity proximal to the elbow or knee; Glasgow Coma Scale score &lt;9 or deteriorating by 2; and patients transferred from other hospitals who require blood transfusion to maintain vital signs.</t>
  </si>
  <si>
    <t>Which of the following is the leading cause of nonfatal injury in children?</t>
  </si>
  <si>
    <t>Falls</t>
  </si>
  <si>
    <t>Motor vehicle crashes</t>
  </si>
  <si>
    <t>Pedestrian injuries</t>
  </si>
  <si>
    <t>Submersion incidents</t>
  </si>
  <si>
    <t>Falls are the leading cause of nonfatal injury in children and are most common from infancy through age 14 years. Children tend to fall from objects, balconies, windows, and trees. Falls most often occur in homes, followed by schoolyards and playgrounds. Falls are followed by motor vehicle crashes and pedestrian injuries (e.g., struck by a motor vehicle while crossing the street).</t>
  </si>
  <si>
    <t>The nurse is caring for a 16-year-old patient who presented to the ED with abdominal pain, vaginal bleeding, and bruises on the breasts. The nurse alerts the sexual assault nurse examiner (SANE) and prepares for which of the following tests?</t>
  </si>
  <si>
    <t>Abdominal ultrasound, x-ray, and pregnancy test</t>
  </si>
  <si>
    <t>Comprehensive metabolic panel (CMP) and sexually transmitted infection (STI) testing</t>
  </si>
  <si>
    <t>Specimen collection for semen, pregnancy test, and STI testing</t>
  </si>
  <si>
    <t>Complete blood count (CBC), erythrocyte sedimentation rate (ESR), and ultrasound</t>
  </si>
  <si>
    <t>The patient is presenting with physical signs of sexual assault. The SANE should be alerted to conduct a forensic exam. The nurse can prepare the patient for specimen collection of semen, a pregnancy test, and testing for STIs. Abdominal ultrasound can be performed after all forensic evidence and blood testing has been collected. X-ray is not indicated in this situation. CBC and CMP would not provide the medical team with information about sexual assault. The ESR is used as an inflammatory marker. It is used to diagnose infections, cancer, and autoimmune disorders.</t>
  </si>
  <si>
    <t>In utero exposure to tobacco smoke is associated with which conditions?</t>
  </si>
  <si>
    <t>Sudden infant death syndrome (SIDS) and early-onset asthma</t>
  </si>
  <si>
    <t>SIDS and adult chronic lung disease</t>
  </si>
  <si>
    <t>Early-onset asthma and adult chronic lung disease</t>
  </si>
  <si>
    <t>SIDS and otitis media</t>
  </si>
  <si>
    <t>In utero exposure to tobacco smoke is a significant risk factor for SIDS. In addition, the risk of early-onset asthma in the first 6 years of life is increased. The risk of otitis media is increased in children who are exposed to smoke after birth. Exposure to smoke during childhood may also contribute to the development of chronic lung disease in the adult.</t>
  </si>
  <si>
    <t>Children of which age have the highest risk of morbidity and mortality from drowning?</t>
  </si>
  <si>
    <t>Younger than 1 year</t>
  </si>
  <si>
    <t>1 to 4 years</t>
  </si>
  <si>
    <t>6 to 7 years</t>
  </si>
  <si>
    <t>8 to 9 years</t>
  </si>
  <si>
    <t>Drowning is a common and highly preventable cause of death in childhood. Children age 1 to 4 years have the highest rate of morbidity and mortality from drowning. The most common causes of death for children younger than 1 year are birth defects, prematurity/low birth weight, sudden infant death syndrome, and respiratory distress syndrome. The most common cause of morbidity and mortality for children age 6 to 9 years is unintentional injury.</t>
  </si>
  <si>
    <t>Which oral antibiotic is MOST likely to be prescribed to an 18-month-old female patient with a symptomatic urinary tract infection (UTI)?</t>
  </si>
  <si>
    <t>Ampicillin</t>
  </si>
  <si>
    <t>Ciprofloxacin</t>
  </si>
  <si>
    <t>Amoxicillin/clavulanate can be prescribed to treat an 18-month-old female patient with a symptomatic UTI. Ampicillin is used to treat acute pyelonephritis. Ceftriaxone is prescribed for complicated pyelonephritis or UTIs caused by specific types of bacteria; it is not administered orally. Ciprofloxacin should be avoided in pediatric patients due to the risk of adverse effects.</t>
  </si>
  <si>
    <t>Which medication is MOST likely to be prescribed to a 10-year-old patient with strep throat?</t>
  </si>
  <si>
    <t>Cefadroxil</t>
  </si>
  <si>
    <t>Penicillin V</t>
  </si>
  <si>
    <t>Cephalexin</t>
  </si>
  <si>
    <t>Penicillin V and amoxicillin are the first lines of treatment for a streptococcal throat infection. Cefadroxil, cephalexin, and azithromycin are prescribed for patients with a penicillin allergy.</t>
  </si>
  <si>
    <t>Which of the following feeding techniques should be used for an infant with trisomy 21?</t>
  </si>
  <si>
    <t>Use a long spoon to place the food toward the back of the infant’s mouth</t>
  </si>
  <si>
    <t>Give the infant a bottle with high-calorie formula every 2 hours</t>
  </si>
  <si>
    <t>Discard food that the infant pushes out of their mouth</t>
  </si>
  <si>
    <t>Strictly breastfeed the infant</t>
  </si>
  <si>
    <t>An infant with trisomy 21 may have feeding difficulties due to lax muscles and a protruding tongue. Placing the food toward the back of the infant’s mouth stimulates the child to swallow the food and helps prevent them from pushing out food. Feeding every 2 hours with high-calorie food is inappropriate because children with trisomy 21 can gain weight quickly. It is important to recognize that tongue thrust is not an indicator of the child being full, but rather is a symptom of the disorder. Food that is thrust out of the mouth should be refed to the infant. Trisomy 21 infants do not have adequate latch skills, so strict breastfeeding is not an appropriate feeding technique.</t>
  </si>
  <si>
    <t>Which of the following is the MOST accurate statement regarding spermatogenesis?</t>
  </si>
  <si>
    <t>Spermatogenesis begins at puberty.</t>
  </si>
  <si>
    <t>Spermatogenesis is initiated before birth.</t>
  </si>
  <si>
    <t>Spermatogenesis occurs in the epididymis.</t>
  </si>
  <si>
    <t>Spermatogenesis begins in the prostate gland.</t>
  </si>
  <si>
    <t>Spermatogenesis (the first stage of sperm development) begins at puberty, not before birth. It occurs in the seminiferous tubules, rather than in the epididymis or the prostate gland.</t>
  </si>
  <si>
    <t>A child with fragile X syndrome should be placed in what type of learning environment?</t>
  </si>
  <si>
    <t>Classroom with all children with fragile X</t>
  </si>
  <si>
    <t>Private one-on-one tutoring sessions</t>
  </si>
  <si>
    <t>Virtual learning with interactive videos</t>
  </si>
  <si>
    <t>Classroom with children of the same age</t>
  </si>
  <si>
    <t>Children with fragile X syndrome learn most effectively by mimicking the behavior of other children. To promote social and cognitive development, it is important to place them in classrooms with children of the same age, either with or without cognitive disabilities. Private one-on-one tutoring would not be beneficial for a fragile X child because they would not be able to observe and mimic behaviors of fellow students. Virtual learning with videos would hinder the child’s ability to develop socially. Placing children with fragile X syndrome in classrooms with all fragile X children would significantly limit their ability to develop new behaviors.</t>
  </si>
  <si>
    <t>Which medication is MOST likely to be prescribed to a 3-year-old patient with mild bacterial conjunctivitis?</t>
  </si>
  <si>
    <t>Moxifloxacin</t>
  </si>
  <si>
    <t>Levofloxacin</t>
  </si>
  <si>
    <t>Azithromycin is a macrolide antibiotic that can be prescribed for the treatment of mild bacterial conjunctivitis. Fluoroquinolones such as moxifloxacin and levofloxacin should be reserved for moderate-to-severe bacterial conjunctivitis. Erythromycin is not used to treat mild bacterial conjunctivitis.</t>
  </si>
  <si>
    <t>The father of a child with trisomy 18 and subsequent myelomeningocele asks the nurse how he should hold his child. The nurse places the child in which position?</t>
  </si>
  <si>
    <t>On the back</t>
  </si>
  <si>
    <t>In a supine position with back gently resting against a pillow</t>
  </si>
  <si>
    <t>In a prone chest-to-chest position against the father</t>
  </si>
  <si>
    <t>In a reverse Trendelenburg position</t>
  </si>
  <si>
    <t>Trisomy 18 is a congenital defect that can cause myelomeningocele, which is an exposed spinal cord contained in a skin sac. These children can still be held by their parents, but they should not be placed on their back because this applies pressure to the exposed spinal cord and increases risk for rupture or infection. In reverse Trendelenburg, the patient is placed on their back with head elevated. Children with a myelomeningocele should not be placed in this position, and all objects, including pillows, should be kept away from the exposed skin sac/spinal cord.</t>
  </si>
  <si>
    <t>How should the nurse implement direct observation of a preschooler’s speech development?</t>
  </si>
  <si>
    <t>Ask the parents about the child’s developmental history</t>
  </si>
  <si>
    <t>Compare the preschooler’s talking ability to that of their older sibling</t>
  </si>
  <si>
    <t>Ask the child to describe their favorite movie or toy</t>
  </si>
  <si>
    <t>Ask the child to draw a picture of their family and label the image</t>
  </si>
  <si>
    <t>Observation technique can be applied by asking the child to describe their favorite movie or toy or by engaging the child in a conversation. Speech development should be assessed by the family, nurses, teachers, and anyone who spends time with the child. Catching speech development delays early and intervening can help promote proper development for the child. Asking the parents about the child’s developmental history is not a direct observation of the child. The nurse should not compare children of different age groups to one another when assessing proper development because older children are typically more advanced than their younger siblings. Asking the child to draw a picture will assess their fine motor skills, not their speech development.</t>
  </si>
  <si>
    <t>Which of the following metabolic diseases is characterized by partial or complete deficiency in children?</t>
  </si>
  <si>
    <t>Pituitary dysfunction</t>
  </si>
  <si>
    <t>Diabetes mellitus is characterized by partial or complete deficiency of insulin and is grouped into two categories: type 1 diabetes and type 2 diabetes. Pituitary dysfunction, or hypopituitarism, is characterized by a deficiency in one or more pituitary hormones and is more common in adults. Hypoparathyroidism is characterized by abnormally low levels of parathyroid hormone. Chronic adrenocortical insufficiency occurs over time due to the adrenal glands not producing enough cortisol.</t>
  </si>
  <si>
    <t>A 14-year-old patient with fever, nausea, vomiting, and left lower quadrant pain is MOST likely to have inflammation of the:</t>
  </si>
  <si>
    <t>Ileum</t>
  </si>
  <si>
    <t>Appendix</t>
  </si>
  <si>
    <t>Gallbladder</t>
  </si>
  <si>
    <t>Diverticulum</t>
  </si>
  <si>
    <t>The patient’s symptoms are consistent with diverticulum inflammation. The sigmoid colon, which is located in the left lower quadrant, is the most common site for diverticula formation. Inflammation of the appendix or ileum presents with right lower quadrant pain. Inflammation of the gallbladder presents as right upper quadrant pain.</t>
  </si>
  <si>
    <t>Which of the following hormones are secreted by the thyroid gland?</t>
  </si>
  <si>
    <t>Thyroxine and triiodothyronine</t>
  </si>
  <si>
    <t>Thyroxine and parathyroid hormone</t>
  </si>
  <si>
    <t>Parathyroid hormone and triiodothyronine</t>
  </si>
  <si>
    <t>Thyroid-stimulating hormone and parathyroid hormone</t>
  </si>
  <si>
    <t>Thyroxine (T4) and triiodothyronine (T3), as well as calcitonin, are secreted by the thyroid gland. Parathyroid hormone is released by the parathyroid glands. Thyroid-stimulating hormone (TSH) is released by the anterior pituitary gland.</t>
  </si>
  <si>
    <t>The nurse is caring for an adolescent patient who has been recently diagnosed with type 2 diabetes. The patient tells the nurse that they "have to pee all the time" and are always thirsty. The nurse recognizes these symptoms as:</t>
  </si>
  <si>
    <t>Polyuria and polydipsia</t>
  </si>
  <si>
    <t>Polyuria and polyphagia</t>
  </si>
  <si>
    <t>Polydipsia and polyphagia</t>
  </si>
  <si>
    <t>Polyphagia and hyperhidrosis</t>
  </si>
  <si>
    <t>Physical signs of diabetes can include frequent urination (polyuria) and excessive thirst (polydipsia). Polyphagia is the term for excessive hunger, and hyperhidrosis is the term for excessive sweating.</t>
  </si>
  <si>
    <t>Which of the following can cause cheilosis in infants?</t>
  </si>
  <si>
    <t>Teeth eruption</t>
  </si>
  <si>
    <t>Breastfeeding</t>
  </si>
  <si>
    <t>Pacifier use</t>
  </si>
  <si>
    <t>Herpes simplex virus</t>
  </si>
  <si>
    <t>Cheilosis, or angular cheilitis, is often caused by pacifier use in infants. Painful skin fissures develop in the corners of the mouth due to excessive moisture. Other causes of cheilosis include vitamin deficiencies and contact with allergens. Although cheilosis may sometimes be mistaken for cold sores, it is a distinct condition and is not caused by the herpes simplex virus.</t>
  </si>
  <si>
    <t>Which type of cerebral palsy affects only one side of the body?</t>
  </si>
  <si>
    <t>Hemiparesis</t>
  </si>
  <si>
    <t>Quadriparesis</t>
  </si>
  <si>
    <t>Diplegia</t>
  </si>
  <si>
    <t>Spastic</t>
  </si>
  <si>
    <t>Hemiparesis affects one side of the body. Quadriparesis involves all four extremities. In diplegia, similar body parts are affected (e.g., both arms). Spastic cerebral palsy may occur in one or both sides of the body.</t>
  </si>
  <si>
    <t>Which of the following is the MOST common type of cerebral palsy?</t>
  </si>
  <si>
    <t>Dyskinetic</t>
  </si>
  <si>
    <t>Ataxic</t>
  </si>
  <si>
    <t>Dystonic</t>
  </si>
  <si>
    <t>Spastic cerebral palsy, which may involve one or both sides of the body, is the most common type of cerebral palsy. Clinical hallmarks include poor control of posture, balance, and coordinated movements and impairment of fine and gross motor skills. Dyskinetic, or athetoid, cerebral palsy manifests as abnormal involuntary movements that disappear during sleep and increase with stress. Ataxic cerebral palsy is manifested by a wide-based gait, rapid repetitive movements that are performed poorly, and disintegration of movements of the upper extremities when the child reaches for objects. Dystonic cerebral palsy is manifested by a combination of the characteristics of spastic and dyskinetic cerebral palsy.</t>
  </si>
  <si>
    <t>The nurse is caring for a 2-year-old patient who experienced a febrile seizure. The child’s parent asks the nurse if the child is likely to have another febrile seizure in the future. The nurse's BEST response is:</t>
  </si>
  <si>
    <t>"It is extremely likely that your child will have another seizure."</t>
  </si>
  <si>
    <t>"The likelihood of your child having another seizure is very low."</t>
  </si>
  <si>
    <t>"There is a 50% chance that your child will have another seizure."</t>
  </si>
  <si>
    <t>"There is a 33% chance that your child will have another seizure."</t>
  </si>
  <si>
    <t xml:space="preserve">Approximately one third of children older than 12 months who experience a febrile seizure will have at least one additional seizure in the future. The recurrence rate may be as high as 50% in children younger than 12 months. </t>
  </si>
  <si>
    <t>Which of the following is an inflammatory reaction to a strep infection?</t>
  </si>
  <si>
    <t>Peritonsillar abscess</t>
  </si>
  <si>
    <t>Post-streptococcal glomerulonephritis</t>
  </si>
  <si>
    <t>Acute rheumatic fever</t>
  </si>
  <si>
    <t>Scarlet fever</t>
  </si>
  <si>
    <t>Acute rheumatic fever is an inflammatory reaction to a strep infection that may affect the heart, joints, and brain. Peritonsillar abscess is a displaced uvula with a red, bulging mass on one side of pharyngeal space. Post-streptococcal glomerulonephritis is a response to pharyngitis due to a nephritogenic strain of group A streptococcus. Scarlet fever is a pink rash with sore throat and a red, sore tongue.</t>
  </si>
  <si>
    <t>While the nurse is taking a history of a female adolescent patient, the patient begins to cry and states that she has been thinking about killing herself. Which of the following is the MOST appropriate follow-up question?</t>
  </si>
  <si>
    <t>"How long have you been thinking of killing yourself?"</t>
  </si>
  <si>
    <t>"Do you have a plan for how you're going to kill yourself?"</t>
  </si>
  <si>
    <t>"Have you discussed these thoughts with your family?"</t>
  </si>
  <si>
    <t>"Should we bring your parents into the room so you can tell them?"</t>
  </si>
  <si>
    <t>To determine the severity of suicidal ideation, the nurse should ask about the plan, intent, and availability of resources needed to carry out the plan. Although learning the length of time the patient has been contemplating suicide and whether she has discussed it with family members are both important, they are not the highest priority. The nurse should uncover more about the plan and intent before facilitating a conversation with the parents and then should only do so if appropriate.</t>
  </si>
  <si>
    <t>The nurse is performing an assessment on a 7-year-old patient with “bumps” on the trunk and armpits lasting for several weeks. The child is afebrile and does not complaint of pain or itching. Upon examination, the nurse practitioner notes a cluster of 2-mm papules that are flesh-colored, dome-shaped, and smooth and have a central umbilication. The MOST likely cause is:</t>
  </si>
  <si>
    <t>Secondary milia</t>
  </si>
  <si>
    <t>Verruca vulgaris</t>
  </si>
  <si>
    <t>Molluscum contagiosum</t>
  </si>
  <si>
    <t>Molluscum contagiosum is a viral condition spread by direct contact. It is common in children. The condition is self-limiting, does not produce pain or itching, and resolves over several months. Milia are keratin-filled cysts that usually occur around the nose and eyes. Verruca vulgaris (warts) are viral and appear as irregular, raised, flesh-colored growths that feel rough to touch. Folliculitis is an inflammation of the hair follicles that can progress to pus-filled sores.</t>
  </si>
  <si>
    <t>The nurse is caring for a 9-year-old male patient who is scheduled for surgery. The patient's parent tells the nurse that the patient is very worried about having a catheter inserted. What is the MOST appropriate response by the nurse?</t>
  </si>
  <si>
    <t>"Don’t worry, catheter insertion doesn’t hurt."</t>
  </si>
  <si>
    <t>"The catheter is inserted during surgery, so he won’t feel it."</t>
  </si>
  <si>
    <t>"He has to have a catheter, so he’ll need to be brave."</t>
  </si>
  <si>
    <t>"I'll ask your son's physician if the catheter is really required."</t>
  </si>
  <si>
    <t>Anxiety is common in children preparing for surgery. A pediatric patient with worries about a catheter or any other aspect of surgery should be provided with an honest but reassuring explanation of what to expect. Belittling or dismissing the anxiety is not appropriate, nor is suggesting that the catheter may not be necessary, which may give the patient false hope.</t>
  </si>
  <si>
    <t>Which of the following sexually transmitted infections can be prevented with infant vaccination?</t>
  </si>
  <si>
    <t>Hepatitis B</t>
  </si>
  <si>
    <t>Chlamydia</t>
  </si>
  <si>
    <t>Gonorrhea</t>
  </si>
  <si>
    <t>The hepatitis B vaccine is recommended to be given by the intramuscular route in three doses: the first at birth or before hospital discharge, the second at age 1 to 4 months, and the final dose at age 6 to 18 months. There are no vaccines currently available to prevent gonorrhea or chlamydia. Hepatitis A is not sexually transmitted; it is passed via the oral-fecal route.</t>
  </si>
  <si>
    <t>The nurse is caring for an infant with decreased spontaneous movements, loss of head control, and poor feeding. The nurse anticipates which of the following interventions?</t>
  </si>
  <si>
    <t>Antibiotic therapy</t>
  </si>
  <si>
    <t>Administration of aminoglycoside</t>
  </si>
  <si>
    <t>Administration of trivalent equine botulinum antitoxin</t>
  </si>
  <si>
    <t>Intubation and mechanical ventilation</t>
  </si>
  <si>
    <t>The patient is exhibiting signs and symptoms of infant botulism. Approximately 50% of affected infants will require intubation and mechanical ventilation. Trivalent equine botulinum antitoxin and bivalent antitoxin, used in adults and older children, are not administered to infants. Antibiotic therapy is not effective against botulinum toxin. Aminoglycosides, in particular, should not be administered because they may potentiate the blocking effects of the neurotoxin.</t>
  </si>
  <si>
    <t>Which of the following medications is contraindicated in an 8-year-old patient with sinusitis?</t>
  </si>
  <si>
    <t>Acetaminophen for sinus pain</t>
  </si>
  <si>
    <t>Pseudoephedrine for congestion</t>
  </si>
  <si>
    <t>Benzonatate for cough</t>
  </si>
  <si>
    <t>Ibuprofen for sinus pain</t>
  </si>
  <si>
    <t>Benzonatate should not be given to children younger than 10 years due to the risk of seizures, cardiac arrest, and death. Acetaminophen and ibuprofen are appropriate for an 8-year-old patient for pain or fever. Pseudoephedrine for congestion is safe in children older than 4 years.</t>
  </si>
  <si>
    <t>Which of the following would be included in the plan of care for a 5-year-old patient who has been prescribed albuterol and has a forced expiratory volume in 1 second (FEV1) of 85%?</t>
  </si>
  <si>
    <t>How to use a nebulizer</t>
  </si>
  <si>
    <t>How to not crush the medication</t>
  </si>
  <si>
    <t>How to use an adult inhalation technique with a holding chamber</t>
  </si>
  <si>
    <t>How to use the tidal breathing technique while holding the chamber mask</t>
  </si>
  <si>
    <t>The child has asthma. Albuterol is a short-acting bronchodilator prescribed for symptoms of wheezing and shortness of breath associated with asthma. A 5-year-old child can use the tidal breathing technique while holding the chamber mask. The nurse will reinforce the proper administration of the medication by having the child demonstrate how the inhaler is used. Nebulizers are generally prescribed in children younger than 4 years. Oral albuterol does not provide immediate relief of asthmatic symptoms.</t>
  </si>
  <si>
    <t>A 36-month-old patient presents with a barking cough and airway inflammation with suprasternal retractions. Which of the following would be included in the patient's treatment plan?</t>
  </si>
  <si>
    <t>Intravenous antibiotic therapy</t>
  </si>
  <si>
    <t>Resting in a supine position</t>
  </si>
  <si>
    <t>Corticosteroids</t>
  </si>
  <si>
    <t>100% supplemental oxygen</t>
  </si>
  <si>
    <t>The patient is presenting with signs and symptoms of laryngotracheobronchitis, or croup. It is an inflammation and edema of the larynx, trachea, and bronchi, which occurs as the result of a virus. It is a self-limiting condition that typically resolves in 3 to 5 days. Treatment includes corticosteroids to decrease inflammation, racemic epinephrine aerosols to decrease edema, rest in the semi-Fowler position (not supine), increased fluid intake, and use of humidified air. Intravenous antibiotic therapy and supplemental oxygen are not required.</t>
  </si>
  <si>
    <t>The nurse is preparing to administer methylprednisolone to a patient within 6 to 8 hours of a spinal cord injury. What dose will the nurse administer?</t>
  </si>
  <si>
    <t>30 mg/kg</t>
  </si>
  <si>
    <t>20 mg/kg</t>
  </si>
  <si>
    <t>10 mg/kg</t>
  </si>
  <si>
    <t>40 mg/kg</t>
  </si>
  <si>
    <t>High-dose methylprednisolone (30 mg/kg) is most effective when administered within 6 to 8 hours of a spinal cord injury. Doses of 10, 20, and 40 mg/kg are not within the normal dosing guidelines for a spinal cord injury.</t>
  </si>
  <si>
    <t>Which of the following would be included in the treatment plan for a child with hepatic injury?</t>
  </si>
  <si>
    <t>Serial c-reactive protein (CRP), serial hematocrit and hemoglobin, and coagulopathy studies</t>
  </si>
  <si>
    <t>Strict monitoring of intake and output, serial abdominal girths, and serial CRP</t>
  </si>
  <si>
    <t>Coagulopathy studies, serial hematocrit and hemoglobin, and serial CRP</t>
  </si>
  <si>
    <t>Strict monitoring of intake and output, serial abdominal girths, and coagulopathy studies</t>
  </si>
  <si>
    <t>Treatment of hepatic injuries requires close monitoring of vital signs, strict monitoring of intake and output, serial hematocrit and hemoglobin, coagulopathy studies, liver function tests, and serial abdominal girths to monitor for bleeding. CRP should be assessed to monitor inflammation within the body.</t>
  </si>
  <si>
    <t>Which of the following interventions is expected for a newborn with an inverted foot?</t>
  </si>
  <si>
    <t>Casting of the affected foot for 6 weeks</t>
  </si>
  <si>
    <t>Casting of both feet for 6 weeks</t>
  </si>
  <si>
    <t>Casting of the affected foot for several months, changed every 1 to 2 weeks</t>
  </si>
  <si>
    <t>Casting of both feet for several months, changed every 1 to 2 weeks</t>
  </si>
  <si>
    <t>Casts are applied sequentially by correcting the forefoot adduction first, then the heel inversion, then the flexion of the ankle. Casts are usually changed at 1- to 2-week intervals to allow the foot to grow and to manipulate the foot gradually. Treatment lasts for several months depending on the severity of the deformation. Casts are applied only to the affected foot.</t>
  </si>
  <si>
    <t>Which of the following is the MOST common type of club foot?</t>
  </si>
  <si>
    <t>Talipes equinovarus</t>
  </si>
  <si>
    <t>Talipes equinus</t>
  </si>
  <si>
    <t>Talipes calcaneovarus</t>
  </si>
  <si>
    <t>Talipes calceneus</t>
  </si>
  <si>
    <t>Talipes equinovarus, also known as idiopathic clubfoot, is the most common type of clubfoot and is present at birth. This congenital anomaly is seen in 1 out of every 1,000 infants and is characterized by the foot pointing downward and inward. In talipes equinus, the sole is flexed and the heel does not touch the ground when walking. In talipes calcaneovarus, the foot is flat or convex with the heel turned outward. In talipes calceneus, the toes point upward.</t>
  </si>
  <si>
    <t>The nurse is performing an assessment on a 3-year old patient who presents with fainting spells and tachycardia. The child’s heart rate is 182 beats/min. The nurse suspects that the patient has:</t>
  </si>
  <si>
    <t>Wolff-Parkinson-White syndrome</t>
  </si>
  <si>
    <t>Marfan syndrome</t>
  </si>
  <si>
    <t>Ehlers-Danlos syndrome</t>
  </si>
  <si>
    <t>Wolff-Parkinson-White syndrome results from extra electrical charges in the heart that cause extreme tachycardia, syncope, and dyspnea. A normal heart rate for a 3-year-old child is 70 to 110 beats/min. Marfan syndrome is typically diagnosed in early adulthood. Patients present with joint hypermobility and are at increased risk for an aortic aneurysm. Ehlers-Danlos syndrome is similar to Marfan syndrome in terms of joint hypermobility, but there is increased risk for a cerebral or cervical artery aneurysm. Rheumatic fever presents with fatigue, nosebleeds, painful joints, and a lattice-like rash on the chest and back.</t>
  </si>
  <si>
    <t>The nurse is performing an assessment on a 5-year-old patient with a fever of 103.4°F and an earache. The child has a history of Kawasaki syndrome. The nurse recognizes that the child is at risk for which complication?</t>
  </si>
  <si>
    <t>Still’s murmur</t>
  </si>
  <si>
    <t>Infective endocarditis</t>
  </si>
  <si>
    <t>Aortic dissection</t>
  </si>
  <si>
    <t>Kawasaki syndrome begins with high fever (up to 104.0°F); red rash, especially in the groin; dry, cracked lips; and a “strawberry” tongue. Seventy-five percent of cases occur in children age 5 years or younger. Kawasaki syndrome resolves in 1 to 2 months; however, severe cardiac complications can occur, including aortic dissection, coronary artery aneurysms, and blood clots. Still’s murmur, infective endocarditis, and heart failure are not complications of Kawasaki syndrome.</t>
  </si>
  <si>
    <t>The nurse is assessing an 8-month-old patient for pain. The nurse gives the patient a FLACC score of 6. Which of the following is the MOST accurate statement regarding this patient?</t>
  </si>
  <si>
    <t>The patient seems disinterested and uneasy. The patient is tense, has a steady cry, and cannot be consoled.</t>
  </si>
  <si>
    <t>The patient has no expression and is relaxed and content in a normal position. The patient moans and whimpers only occasionally.</t>
  </si>
  <si>
    <t>The patient has a clenched jaw with legs drawn. Their back is arched, and they are whimpering. The patient is difficult to console.</t>
  </si>
  <si>
    <t>The patient has a clenched jaw, is restless and squirming, and occasionally cries. The patient can be consoled with touch.</t>
  </si>
  <si>
    <t>FLACC is a behavior scale valid for children age 2 months to 7 years. It is composed of five indicators: Face, Legs, Activity, Crying, Consolability. A patient with a FLACC score of 6 would exhibit the following: clenched jaw (2 points), restless (1 point), squirming (1 point), occasionally cries (1 point). The patient can be consoled with touch (1 point).</t>
  </si>
  <si>
    <t>The nurse is assessing an adolescent patient who presents with diaphoresis, palpitations, slight confusion, and tachycardia following a soccer game. The patient has diabetes and took insulin approximately 4 hours ago. The nurse's BEST action is to:</t>
  </si>
  <si>
    <t>Assess for asthma and provide rescue inhaler</t>
  </si>
  <si>
    <t>Administer nitroglycerin and perform electrocardiogram</t>
  </si>
  <si>
    <t>Check pulse oximetry and administer oxygen therapy</t>
  </si>
  <si>
    <t>Check blood glucose level and administer carbohydrates</t>
  </si>
  <si>
    <t>The patient is experiencing symptoms of hypoglycemia. Checking the blood glucose level and administering carbohydrates will elevate blood glucose. Performing an electrocardiogram and administering nitroglycerin would be anticipated actions for myocardial infarction. Administering oxygen will not help correct low blood glucose level. Assessing for asthma and providing a rescue inhaler would be needed if the patient was in respiratory distress, but the signs and symptoms point to hypoglycemia.</t>
  </si>
  <si>
    <t>An infant diagnosed with hypothyroidism would be expected to exhibit which of the following signs and symptoms?</t>
  </si>
  <si>
    <t>Increased appetite</t>
  </si>
  <si>
    <t>Irritability</t>
  </si>
  <si>
    <t>Mottled skin</t>
  </si>
  <si>
    <t>Hypothyroidism is a disease in which active thyroid hormone levels are decreased. Clinical manifestations of hypothyroidism in infants are poor appetite, mottled skin, muscle weakness, lethargy, and constipation. Tachycardia and excessive irritability are associated with hyperthyroidism.</t>
  </si>
  <si>
    <t>The nurse is assessing a 4-year-old patient with a distended abdomen and abdominal pain. The parent reports that the child has had two or fewer stools per week and refuses to sit on the toilet. The nurse suspects that the patient is experiencing:</t>
  </si>
  <si>
    <t>Encopresis</t>
  </si>
  <si>
    <t>Inflammatory bowel syndrome</t>
  </si>
  <si>
    <t>Short bowel syndrome</t>
  </si>
  <si>
    <t>Celiac disease</t>
  </si>
  <si>
    <t>Encopresis, or functional constipation, is diagnosed when two or more of the Rome IV criteria are met, including two or fewer defecations per week or the holding of stool. Inflammatory bowel syndrome (IBS) commonly presents with bloody or watery feces and belly pain. IBS typically occurs more frequently in older children or adolescents. Short bowel syndrome (short gut) is a malabsorption disorder caused by lack of functional small intestine. The primary symptom is diarrhea, which can result in dehydration, malnutrition, and weight loss. Individuals with celiac disease cannot digest gluten, a protein found in wheat, rye, and barley. They often present with abdominal pain.</t>
  </si>
  <si>
    <t>Which of the following skin conditions is caused by high androgen levels during puberty?</t>
  </si>
  <si>
    <t>Tinea corporis</t>
  </si>
  <si>
    <t>Onychomycosis</t>
  </si>
  <si>
    <t>Acne rosacea</t>
  </si>
  <si>
    <t>Acne vulgaris</t>
  </si>
  <si>
    <t>Acne vulgaris is most prevalent in adolescence due to elevated androgen levels, bacteria (Propionibacterium acnes), and genetic factors. Tinea corporis is ringworm of the body and manifests in ring-like pruritic scales that slowly enlarge over the body. Onychomycosis is a fungal infection of the nail, which becomes yellowed and thickened, with scaling under the nail. It is also known as tinea unguium. Acne rosacea is a chronic inflammatory skin disorder that most commonly occurs in fair-skinned individuals. Patients present with small acne-like papules and pustules on the cheeks, mouth, and chin.</t>
  </si>
  <si>
    <t>Which of the following is the MOST accurate description of scoliosis?</t>
  </si>
  <si>
    <t>Convex curvature of the thoracic spine</t>
  </si>
  <si>
    <t>Concave curvature of the cervical spine</t>
  </si>
  <si>
    <t>Lateral deviation of the thoracic spine</t>
  </si>
  <si>
    <t>Concave curvature of the lumbar spine</t>
  </si>
  <si>
    <t>Scoliosis is defined as the lateral deviation of the thoracic spine. Concave curvature of the cervical spine, convex curvature of the thoracic spine, and concave curvature of the lumbar spine are characteristics of normal spinal alignment.</t>
  </si>
  <si>
    <t>Which of the following 6-month-old infants can be safely immunized with the DTaP vaccine?</t>
  </si>
  <si>
    <t>Infant who has a temperature of 103.0°F</t>
  </si>
  <si>
    <t>Infant who has a runny nose and a cough</t>
  </si>
  <si>
    <t>Infant who is receiving prednisone for treatment of leukemia</t>
  </si>
  <si>
    <t>Infant who experienced breathing difficulties after the last immunization</t>
  </si>
  <si>
    <t>Children with cold symptoms (e.g., cough, runny nose) can safely receive DTaP (diphtheria, tetanus, and acellular pertussis) immunization. Children who have a temperature higher than 102.0°F, had serious reactions to previous immunizations, or are receiving immunosuppressive therapy should not receive the DTaP immunization.</t>
  </si>
  <si>
    <t>The palivizumab vaccine is used to prevent:</t>
  </si>
  <si>
    <t>Meningococcal meningitis</t>
  </si>
  <si>
    <t>Respiratory syncytial virus</t>
  </si>
  <si>
    <t>Streptococcus pneumoniae</t>
  </si>
  <si>
    <r>
      <rPr>
        <sz val="11"/>
        <color rgb="FF000000"/>
        <rFont val="Calibri"/>
        <family val="2"/>
        <scheme val="minor"/>
      </rPr>
      <t>Palivizumab is a monoclonal antibody used to prevent the respiratory syncytial virus in high-risk infants. Palivizumab is not used to protect against rotavirus, meningococcal meningitis, or</t>
    </r>
    <r>
      <rPr>
        <i/>
        <sz val="11"/>
        <color rgb="FF000000"/>
        <rFont val="Calibri"/>
        <family val="2"/>
        <scheme val="minor"/>
      </rPr>
      <t xml:space="preserve"> Streptococcus pneumoniae.</t>
    </r>
  </si>
  <si>
    <t>Which of the following is MOST likely to be included in the plan of care for a patient with rhabdomyolysis?</t>
  </si>
  <si>
    <t>Administer crystalloids, phosphate-binding antacids, and insulin; monitor serial abdominal girths</t>
  </si>
  <si>
    <t>Administer colloids, sodium-binding antacids, and insulin; monitor serial abdominal girths</t>
  </si>
  <si>
    <t>Administer crystalloids, phosphate-binding antacids, and diuretics; monitor intake and output</t>
  </si>
  <si>
    <t>Administer colloids, phosphate-binding antacids, and diuretics; monitor intake and output</t>
  </si>
  <si>
    <t>The nurse caring for a patient with rhabdomyolysis should prepare to normalize electrolyte values, administer intravenous crystalloids, and, if hyperkalemia is present, treat with sodium bicarbonate, insulin, and glucose. Administration of phosphate-binding antacids and diuretics will also be included in the care plan. Strict monitoring of intake and output is required; urine output should be at least 1 mL/kg/hr to ensure adequate flushing of the kidneys and prevent obstruction in the tubules due to cell breakdown.</t>
  </si>
  <si>
    <t>Clinical manifestation of a food allergy that involves atopic dermatitis is classified by the American Academy of Pediatrics as which type of reaction?</t>
  </si>
  <si>
    <t>Systemic</t>
  </si>
  <si>
    <t>Gastrointestinal</t>
  </si>
  <si>
    <t>Respiratory</t>
  </si>
  <si>
    <t>Cutaneous</t>
  </si>
  <si>
    <t>Clinical manifestations of a cutaneous reaction include urticaria, rash, and atopic dermatitis. The American Academy of Pediatrics divides the clinical manifestations of food allergy into four different categories. Clinical manifestations of a systemic reaction are anaphylaxis and growth failure. Clinical manifestations of a gastrointestinal reaction include abdominal pain, vomiting, cramping, and diarrhea. Clinical manifestations of a respiratory reaction include cough, wheeze, rhinitis, and infiltrates.</t>
  </si>
  <si>
    <t>Which of the following would be included in the plan of care for a child with hepatitis?</t>
  </si>
  <si>
    <t>Provide small meals and frequent snacks, limit activity</t>
  </si>
  <si>
    <t>Provide large meals, avoid snacks, promote activity</t>
  </si>
  <si>
    <t>Provide small meals and frequent snacks, promote activity</t>
  </si>
  <si>
    <t>Provide large meals, avoid snacks, and limit activity</t>
  </si>
  <si>
    <t>For a child with hepatitis, the nurse would provide small, frequent meals and snacks to support nutrition. The nurse would also limit activity to promote rest and decrease caloric needs. Large meals are difficult to digest so they should be avoided.</t>
  </si>
  <si>
    <t>After administering epinephrine to a child in anaphylaxis, the nurse should monitor for:</t>
  </si>
  <si>
    <t>Hypertension</t>
  </si>
  <si>
    <t>Confusion</t>
  </si>
  <si>
    <t>Epinephrine induces increased vascular smooth muscle contraction, pupillary dilator muscle contraction, and intestinal sphincter muscle contraction. Other significant effects include increased heart rate, myocardial contractility, and renin release via beta-1 receptors. Signs of an adverse reaction to epinephrine include hypertension, tachycardia, irritability, headache, nausea, and tremors.</t>
  </si>
  <si>
    <t>The nurse is assisting with the triage of a 4-year-old patient who appears malnourished and has multiple bruises in different healing stages. The nurse suspects child abuse. Which of the following is the MOST appropriate action?</t>
  </si>
  <si>
    <t>Take the child from their parents</t>
  </si>
  <si>
    <t>Contact local law enforcement to report abuse</t>
  </si>
  <si>
    <t>Confront the parents about the suspected abuse</t>
  </si>
  <si>
    <t>Nothing; children of this age are prone to falling and are picky eaters</t>
  </si>
  <si>
    <t>Healthcare providers have a responsibility to report suspected or known child abuse. Red flags include signs of malnourishment and bruises in multiple stages of healing. The most appropriate action is to report the suspected or known abuse to child protective services, social services, or law enforcement.</t>
  </si>
  <si>
    <t>While the nurse is performing an assessment on a 12-year-old female patient, the child tells the nurse that while she was sleeping over at a friend's house 2 days ago, her friend's brother sexually assaulted her. The nurse's BEST action is to:</t>
  </si>
  <si>
    <t>Report the information to social services and initiate a forensic examination</t>
  </si>
  <si>
    <t>Report to social services but not initiate a forensic exam because the time window has passed</t>
  </si>
  <si>
    <t>Keep the information confidential to protect the patient's privacy</t>
  </si>
  <si>
    <t>Report to social services and hold the patient for interrogation</t>
  </si>
  <si>
    <t>If the sexual assault took place within 72 hours, a forensic examination should be performed, in addition to notifying the appropriate authorities. One should never interrogate a victim of sexual abuse. The nurse is required by law to report suspected abuse and assault to the proper authorities.</t>
  </si>
  <si>
    <t>The nurse is caring for a 7-month-old patient who suffered a traumatic brain injury. Throughout the day, the infant has become lethargic. A CT scan does not reveal any subdural hematomas or other abnormalities. The nurse's next BEST step is to:</t>
  </si>
  <si>
    <t>Administer 3% saline solution intravenously</t>
  </si>
  <si>
    <t>Check the infant’s blood glucose level</t>
  </si>
  <si>
    <t>Initiate enteral feeding</t>
  </si>
  <si>
    <t>Administer intramuscular glucagon</t>
  </si>
  <si>
    <t>Infants with traumatic brain injury are at increased risk for complications. A CT scan did not reveal any acute abnormalities, so the next best step would be to check the blood glucose level because a lethargic child may be hypoglycemic. It is important to avoid hypoglycemia to maintain proper brain function. Administration of 3% saline solution would be toxic to this infant. Starting the child on enteral feeds or glucagon would be inappropriate without first assessing the blood glucose level.</t>
  </si>
  <si>
    <t>Which of the following laboratory tests should be performed by a trained physician?</t>
  </si>
  <si>
    <t>Culture of the eye</t>
  </si>
  <si>
    <t>Culture of the ear</t>
  </si>
  <si>
    <t>Tympanic fluid culture</t>
  </si>
  <si>
    <t>Tympanic fluid culture of fluid aspirated from the middle ear is painful for the patient and should be performed only by a trained physician. Culture of eye or ear drainage is easy to collect and relatively pain free. Tympanometry is not a laboratory test. It involves a probe that can be placed in the ear canal to measure movement of the eardrum.</t>
  </si>
  <si>
    <t>Which of the following interventions is MOST appropriate for a trauma patient with no facial or cranial injury?</t>
  </si>
  <si>
    <t>Reverse Trendelenburg position</t>
  </si>
  <si>
    <t>Recovery position</t>
  </si>
  <si>
    <t>Orogastric or nasogastric tube</t>
  </si>
  <si>
    <t>Endotracheal tube</t>
  </si>
  <si>
    <t>An orogastric or nasogastric tube should be inserted in trauma patients without facial or cranial injury to prevent gastric distention, vomiting, and aspiration. The recovery position is a side-lying position, which is inappropriate for trauma patients because they should have spinal precautions until they have been cleared from spinal injuries. Reverse Trendelenburg places the patient supine with the head of the bed elevated to a 15- to 30-degree incline. In trauma, it is recommended to place a patient in Trendelenburg position with the patient's feet elevated to a 15- to 30-degree incline. Nurses do not insert endotracheal tubes.</t>
  </si>
  <si>
    <t>The respiratory rate threshold for diagnosing a 7-month old patient with pneumonia is:</t>
  </si>
  <si>
    <t>≥60 breaths/min</t>
  </si>
  <si>
    <t>≥50 breaths/min</t>
  </si>
  <si>
    <t>≥40 breaths/min</t>
  </si>
  <si>
    <t>≥30 breaths/min</t>
  </si>
  <si>
    <t>Observing a child's respiratory effort during a physical exam is an important first step in diagnosing pneumonia. The respiratory rate thresholds for diagnosing children with pneumonia are ≥60 breaths/min for children younger than 2 months, ≥50 breaths/min for children age 2 to 11 months, and ≥40 breaths/min in children age 12 to 59 months.</t>
  </si>
  <si>
    <t>An infant with cystic fibrosis is MOST likely to present with:</t>
  </si>
  <si>
    <t>Diarrhea</t>
  </si>
  <si>
    <t>Bronchial breath sounds</t>
  </si>
  <si>
    <t>Pigeon chest</t>
  </si>
  <si>
    <t>Poor weight gain</t>
  </si>
  <si>
    <t>A child with cystic fibrosis may present with abdominal pain with poor weight gain; difficulty passing stools; bulky, greasy stools; meconium ileus or delayed meconium in the newborn period; respiratory distress with adventitious breath sounds; barrel chest; and nail clubbing.</t>
  </si>
  <si>
    <t>The nurse is educating new parents on oral iron supplementation. The nurse will instruct the parents to:</t>
  </si>
  <si>
    <t>Give the supplement with milk as it may enhance absorption</t>
  </si>
  <si>
    <t>Discontinue supplementation if the child develops constipation</t>
  </si>
  <si>
    <t>Avoid vitamin C–containing juices, which hinder absorption</t>
  </si>
  <si>
    <t>Continue supplementation if the child's stool becomes dark in color</t>
  </si>
  <si>
    <t>It is normal for stool to become dark in color as a result of oral iron supplementation. Oral iron supplementation may cause constipation; however, this is not cause to stop the supplementation. The nurse should instruct the parents to try laxative juices such as prune juice or talk to the provider about prescribed or over-the-counter laxatives. Oral iron supplementation should never be given with milk, as it will hinder absorption. Conversely, vitamin C–containing juices may enhance absorption of oral iron supplementation.</t>
  </si>
  <si>
    <t>Which of the following disorders MOST commonly occurs after upper respiratory tract or human parvovirus infection?</t>
  </si>
  <si>
    <t>Immune thrombocytopenia</t>
  </si>
  <si>
    <t>Wiskott-Aldrich syndrome</t>
  </si>
  <si>
    <t>Severe combined immunodeficiency</t>
  </si>
  <si>
    <t>HIV</t>
  </si>
  <si>
    <t>Immune (or idiopathic) thrombocytopenia purpura (ITP) is described as a platelet count of &lt;150,000 lasting longer than 6 months from initial manifestation. The acute form of ITP is typically preceded by vaccination or a viral infection, such as an upper respiratory tract or human parvovirus infection. HIV is contracted by sharing body fluids with someone who is infected with the virus. Severe combined immunodeficiency and Wiskott-Aldrich syndrome are caused by a chromosomal defect.</t>
  </si>
  <si>
    <t>The nurse is assessing a patient with abdominal pain, decreased appetite, and behavioral changes. Labs reveal an elevated free erythrocyte protoporphyrin (FEP) level and a lead level of 68 mcg/dL. The treatment plan will MOST likely include:</t>
  </si>
  <si>
    <t>Nutrition counseling</t>
  </si>
  <si>
    <t>Oral chelation therapy</t>
  </si>
  <si>
    <t>Hospitalization</t>
  </si>
  <si>
    <t>Consultation with medical toxicology</t>
  </si>
  <si>
    <t>The patient is diagnostic for lead poisoning. Patients with a lead level of 45 to 69 mcg/dL should be removed from the source of the lead and treated with oral chelation medication. If the patient's lead level were 70 mcg/dL or higher, hospitalization and consultation with a medical toxicologist would be required. For levels below 45 mcg/dL, treatment includes education on nutrition (increasing calcium and iron) and reducing exposure to lead hazards.</t>
  </si>
  <si>
    <t>What causes a bronzed complexion in children with thalassemia major?</t>
  </si>
  <si>
    <t>Amyloid</t>
  </si>
  <si>
    <t>Hyperbilirubinemia</t>
  </si>
  <si>
    <t>Hemosiderosis</t>
  </si>
  <si>
    <t>Nephrocalcinosis</t>
  </si>
  <si>
    <t>The muddy bronze color results from hemosiderosis, a deposit of iron in the tissues as a result of rapid destruction of blood cells. Amyloid is an abnormal protein produced in bone marrow, which can be deposited in any tissue or organ. Hyperbilirubinemia is the buildup of bilirubin in the blood, which causes jaundice. Nephrocalcinosis is characterized by the deposition of calcium in the kidney parenchyma and tubules.</t>
  </si>
  <si>
    <t>The nurse is administering intravenous (IV) fluid replacement to an infant who weighs 15 lb. What is the daily fluid maintenance requirement?</t>
  </si>
  <si>
    <t>1,500 mL</t>
  </si>
  <si>
    <t>700 mL</t>
  </si>
  <si>
    <t>1,250 mL</t>
  </si>
  <si>
    <t>500 mL</t>
  </si>
  <si>
    <t>Fluid intoxication can occur during IV fluid replacement. Infants are especially vulnerable to fluid volume excess. Daily fluid maintenance requirements are based on body weight (kg). Children who weigh 1 to 10 kg should receive 100 mL/kg/day. Children who weigh 11 to 20 kg should receive 1,000 mL plus 50 mL/kg for each kg above 10 kg. Children who weigh more than 20 kg should receive 1,500 mL plus 20 mL/kg for each kg above 20. The patient weighs 15 lb, which is approximately 7 kg, resulting in a daily limit of 700 mL.</t>
  </si>
  <si>
    <t>Which of the following statements BEST describes acrocyanosis?</t>
  </si>
  <si>
    <t>It is a sign of anemia.</t>
  </si>
  <si>
    <t>It is a normal finding in a newborn.</t>
  </si>
  <si>
    <t>It is an indication of cardiopulmonary disease.</t>
  </si>
  <si>
    <t>It is a late sign of respiratory distress.</t>
  </si>
  <si>
    <t>Acrocyanosis is a functional peripheral vascular disorder characterized by dusky, mottled discoloration, or cyanosis, of the hands, the feet, and sometimes the face. Acrocyanosis is a normal finding in a newborn. Central cyanosis is a late sign of respiratory distress in children, as well as an indication of cardiopulmonary disease. Pallor is a sign of anemia in children.</t>
  </si>
  <si>
    <t>Jaundice is considered an abnormal assessment when observed at age:</t>
  </si>
  <si>
    <t>72 hours</t>
  </si>
  <si>
    <t>48 hours</t>
  </si>
  <si>
    <t>96 hours</t>
  </si>
  <si>
    <t>12 hours</t>
  </si>
  <si>
    <t>Physiologic jaundice typically appears on the second or third day of life and is a normal finding. Jaundice at age 12 hours is a pathologic finding that may indicate sepsis.</t>
  </si>
  <si>
    <t>Which of the following is the MOST accurate statement regarding respiratory rate in children?</t>
  </si>
  <si>
    <t>The respiratory rate decreases initially with respiratory distress.</t>
  </si>
  <si>
    <t>The respiratory rate increases in the later phase of severe respiratory distress.</t>
  </si>
  <si>
    <t>The respiratory rate increases initially with respiratory distress.</t>
  </si>
  <si>
    <t>The respiratory rate is not affected by bronchoconstriction in young children.</t>
  </si>
  <si>
    <t>The respiratory rate increases initially with respiratory distress and decreases as severe respiratory distress and respiratory failure ensue. The respiratory rate is affected by bronchoconstriction in young children.</t>
  </si>
  <si>
    <t>The use of accessory muscles of breathing in infants and young children is caused by:</t>
  </si>
  <si>
    <t>Diaphragmatic breathing</t>
  </si>
  <si>
    <t>Hypoxia</t>
  </si>
  <si>
    <t>Normal respiratory development</t>
  </si>
  <si>
    <t>Periodic breathing</t>
  </si>
  <si>
    <t>Retractions occur when heightened respiratory effort is necessary to inhale extra oxygen. This occurs when a patient is hypoxic. Periodic breathing (up to 20 seconds of apnea) is within normal limits in neonates. Diaphragmatic breathing (i.e., the abdomen rises with inspiration) is normal in infants and children until age 7 years. Retractions are not part of normal respiratory development.</t>
  </si>
  <si>
    <t>Which of the following describes a loud, coarse, high-pitched sound caused by upper airway narrowing or inflammation?</t>
  </si>
  <si>
    <t>Rales</t>
  </si>
  <si>
    <t>Wheezing</t>
  </si>
  <si>
    <t>Rhonchi</t>
  </si>
  <si>
    <t>Stridor is a loud, coarse, high-pitched sound caused by upper airway narrowing or inflammation. Rales, or crackles, are small clicking, bubbling, or rattling sounds in the lungs caused by inflammation or infection of the small bronchi, bronchioles, or alveoli. Wheezing is a high-pitched whistling sound caused by infection-, allergic-, or obstruction-related inflammation. Rhonchi are snoring, gurgling, or rattle-like sounds that are often heard in pneumonia, chronic bronchitis, or cystic fibrosis.</t>
  </si>
  <si>
    <t>Hypoactive bowel sounds MOST likely indicate:</t>
  </si>
  <si>
    <t>Vascular bruits</t>
  </si>
  <si>
    <t>Decreased peristalsis</t>
  </si>
  <si>
    <t>Complete bowel obstruction</t>
  </si>
  <si>
    <t>Increased peristalsis</t>
  </si>
  <si>
    <t>Bowel sounds are less active with decreased peristalsis. Vascular bruits cause turbulent flow of blood in an artery, resulting in sounds that mimic a cardiac murmur, not hypoactive bowel sounds. Increased peristalsis will cause bowel sounds to increase. A complete bowel obstruction will first increase bowel sounds; bowel sounds will then become absent.</t>
  </si>
  <si>
    <t>When administering an enema to an adolescent patient, what is the MOST effective patient positioning?</t>
  </si>
  <si>
    <t>On abdomen with knees bent</t>
  </si>
  <si>
    <t>On back with knees pulled up to chest</t>
  </si>
  <si>
    <t>On left side with right leg flexed toward chest</t>
  </si>
  <si>
    <t>On all fours</t>
  </si>
  <si>
    <t>An adolescent patient should be positioned on their left side, with the right leg flexed toward the chest. This eases the passage and flow of fluid into the rectum and aids in enema distribution and retention. Proper positioning for an infant or toddler is on the abdomen with the knees bent.</t>
  </si>
  <si>
    <t>Which of the following is a common warning sign of mental illness in an adolescent patient?</t>
  </si>
  <si>
    <t>Emphasis on new peer group</t>
  </si>
  <si>
    <t>Disagreements with parents</t>
  </si>
  <si>
    <t>Unexplained weight loss</t>
  </si>
  <si>
    <t>Arguing with siblings</t>
  </si>
  <si>
    <t>Warning signs of mental illness in an adolescent patient include unexplained weight loss, behavior changes, and substance use. Disagreeing with parents and focusing on a new peer group are considered part of normal development for adolescents. Arguing with siblings is normal as well; however, if the fighting is outside the norm for the patient, or becomes more violent in nature, it may be a sign of mental illness.</t>
  </si>
  <si>
    <t>Which of the following is the MOST appropriate guidance for strategies to prevent ear infections?</t>
  </si>
  <si>
    <t>Blow nose vigorously</t>
  </si>
  <si>
    <t>Chew bubble gum</t>
  </si>
  <si>
    <t>Blow nose gently</t>
  </si>
  <si>
    <t>Clean ears with cotton swabs daily</t>
  </si>
  <si>
    <t>Infants and children have short, horizontally positioned eustachian tubes, which can more easily trap fluid and bacteria, leading to more frequent ear infections. Preventive measures include gentle nose blowing (so that fluid and bacteria are not forced into the ear canal) and chewing sugarless gum that contains xylitol. Cotton swabs should not be used as they can push earwax deeper into the ear and irritate the ear canal, which can lead to infection.</t>
  </si>
  <si>
    <t>Which strains of human papillomavirus (HPV) are the MOST carcinogenic?</t>
  </si>
  <si>
    <t>16 and 18</t>
  </si>
  <si>
    <t>6 and 11</t>
  </si>
  <si>
    <t>31 and 33</t>
  </si>
  <si>
    <t>52 and 58</t>
  </si>
  <si>
    <t>Strains 16 and 18 are the most carcinogenic strains of HPV. Strains 31, 33, 45, 52, and 58 are also high risk. Low-risk strains are 6 and 11.</t>
  </si>
  <si>
    <t>Which gram-positive pathogen is the MOST common cause of bacterial meningitis?</t>
  </si>
  <si>
    <t>Listeria monocytogenes</t>
  </si>
  <si>
    <t>Neisseria meningitides</t>
  </si>
  <si>
    <t>Haemophilus influenzae</t>
  </si>
  <si>
    <r>
      <rPr>
        <sz val="11"/>
        <color rgb="FF000000"/>
        <rFont val="Calibri"/>
        <family val="2"/>
        <scheme val="minor"/>
      </rPr>
      <t xml:space="preserve">Bacterial meningitis is most commonly caused by </t>
    </r>
    <r>
      <rPr>
        <i/>
        <sz val="11"/>
        <color rgb="FF000000"/>
        <rFont val="Calibri"/>
        <family val="2"/>
        <scheme val="minor"/>
      </rPr>
      <t xml:space="preserve">Streptococcus pneumoniae. Listeria monocytogenes, Neisseria meningitides, </t>
    </r>
    <r>
      <rPr>
        <sz val="11"/>
        <color rgb="FF000000"/>
        <rFont val="Calibri"/>
        <family val="2"/>
        <scheme val="minor"/>
      </rPr>
      <t xml:space="preserve">and </t>
    </r>
    <r>
      <rPr>
        <i/>
        <sz val="11"/>
        <color rgb="FF000000"/>
        <rFont val="Calibri"/>
        <family val="2"/>
        <scheme val="minor"/>
      </rPr>
      <t xml:space="preserve">Haemophilus influenzae </t>
    </r>
    <r>
      <rPr>
        <sz val="11"/>
        <color rgb="FF000000"/>
        <rFont val="Calibri"/>
        <family val="2"/>
        <scheme val="minor"/>
      </rPr>
      <t>are also causes of bacterial meningitis, but they are less common.</t>
    </r>
  </si>
  <si>
    <t>Pasteurized milk has decreased the incidence of:</t>
  </si>
  <si>
    <t>Tuberculosis</t>
  </si>
  <si>
    <t>Diphtheria</t>
  </si>
  <si>
    <t>Bronchitis</t>
  </si>
  <si>
    <t>Pasteurization and routine testing of milk has reduced the incidence of tuberculosis. It has not affected the incidence of diphtheria, pneumonia, or bronchitis.</t>
  </si>
  <si>
    <t>The nurse is caring for a patient diagnosed with coarctation of the aorta. The nurse anticipates which of the following interventions?</t>
  </si>
  <si>
    <t>Palliative surgery with a bridge to heart transplant</t>
  </si>
  <si>
    <t>Pharmacologic treatment only</t>
  </si>
  <si>
    <t>Surgical repair with a stent or resection of the stenosis</t>
  </si>
  <si>
    <t>Oxygen and oral rehydration</t>
  </si>
  <si>
    <t>Coarctation of the aorta is a congenital defect in which the aorta is stenosed. It is treated with surgery or balloon angioplasty and pharmacotherapy to help control hypertension. Oxygen and oral hydration are not indicated. This condition does not heal over time without intervention. The patient does not require palliative care because surgery can reverse the defect.</t>
  </si>
  <si>
    <t>The nurse is providing discharge instructions to the parents of a child post cardiac catheterization. The nurse will instruct the parents to:</t>
  </si>
  <si>
    <t>Remove the dressing 1 hour after the procedure</t>
  </si>
  <si>
    <t>Give the child a bath when they get home</t>
  </si>
  <si>
    <t>Keep the affected leg bent at a 90-degree angle</t>
  </si>
  <si>
    <t>Remove the dressing 24 hours after the procedure</t>
  </si>
  <si>
    <t>Postoperative care for a cardiac catheterization includes keeping the affected limb straight for 4 to 6 hours post procedure, removing the dressing 24 hours after the procedure, and showering (not bathing). The dressing should not be removed after 1 hour because postoperative bleeding can occur. The parents should be educated to not soak the area in water right after the catheterization, and the leg should not be bent at a 90-degree angle because this can delay healing and cause complications.</t>
  </si>
  <si>
    <t>The nurse is providing discharge instructions to the parents of a child who underwent surgery for the treatment of Hirschsprung disease. The nurse will instruct the parents to monitor for which of the following signs and symptoms?</t>
  </si>
  <si>
    <t>Distended abdomen, decreased urine output, vomiting</t>
  </si>
  <si>
    <t>Distended abdomen, increased urine output, nausea</t>
  </si>
  <si>
    <t>Nausea, decreased urine output, encopresis</t>
  </si>
  <si>
    <t>Encopresis, increased urine output, vomiting</t>
  </si>
  <si>
    <t>Hirschsprung disease is a congenital condition that affects the large intestine and causes problems with passing stool. Postsurgery, the nurse should instruct the parents to recognize the beginning signs of constipation, such as straining during defecation and a distended abdomen; fluid loss and dehydration (decreased urine output, sunken eyes, poor skin turgor); enterocolitis (vomiting, diarrhea, fever, lethargy, sudden marked abdominal distension); and strictures (abdominal distension, constipation, vomiting).</t>
  </si>
  <si>
    <t>A child with a cleft lip is MOST likely to have compromised:</t>
  </si>
  <si>
    <t>Gastrointestinal function</t>
  </si>
  <si>
    <t>Motor function</t>
  </si>
  <si>
    <t>Respiratory status</t>
  </si>
  <si>
    <t>Sucking ability</t>
  </si>
  <si>
    <t>A cleft lip prohibits the mouth from forming an effective seal around a nipple; therefore, a child with cleft lip will have compromised sucking ability. Respiratory and gastrointestinal function would be compromised only if the infant is not fed slowly, is not fed in an upright position, or is burped infrequently. Cleft lip does not affect motor function.</t>
  </si>
  <si>
    <t>The nurse is caring for a 5-year-old patient with a fractured forearm. The parent states that the child fell off their bike and landed on the hands with the arms extended. The x-ray shows a spiral fracture. The nurse suspects:</t>
  </si>
  <si>
    <t>Compartment syndrome</t>
  </si>
  <si>
    <t>Osteogenesis imperfecta</t>
  </si>
  <si>
    <t>Physical abuse</t>
  </si>
  <si>
    <t>Developmental delays</t>
  </si>
  <si>
    <t>Injuries that are not consistent with the story presented can be a sign of physical abuse. A child who fell off a bike with arms extended would not present with a spiral fracture, which is typically caused by a twisting motion. Compartment syndrome is a condition caused by pressure buildup from swelling of tissues. Osteogenesis imperfecta is imperfect bone formation, which increases risk of fractures. Development delays are classified as physical or cognitive delays, which do not apply in this case.</t>
  </si>
  <si>
    <t>The four subcategories of child abuse are:</t>
  </si>
  <si>
    <t>Physical, material, nutritional, emotional</t>
  </si>
  <si>
    <t>Physical, material, emotional, sexual</t>
  </si>
  <si>
    <t>Physical, emotional, sexual, violent</t>
  </si>
  <si>
    <t>Physical, emotional, sexual, neglect</t>
  </si>
  <si>
    <t>Child abuse can be broken into four subcategories: physical abuse, emotional abuse, sexual abuse, and neglect. Violent, nutritional, and material abuse are not categories of child abuse.</t>
  </si>
  <si>
    <t>The nurse is triaging a 16-year-old female patient who presents to the ED with pelvic pain. The patient is accompanied by her aunt. When the nurse asks the patient questions, the aunt quickly responds before the patient has an opportunity to do so. The nurse's BEST action is to:</t>
  </si>
  <si>
    <t>Interview the aunt and the patient separately</t>
  </si>
  <si>
    <t>Direct all questions to the aunt</t>
  </si>
  <si>
    <t>Attribute the patient's behavior to normal adolescent development</t>
  </si>
  <si>
    <t>Ask the patient directly if she is being abused while her aunt is still in the room</t>
  </si>
  <si>
    <t>When a family member or significant other is not allowing a patient to answer questions or talk for themselves, the nurse should interview the parties separately to assess for potential abuse. The nurse should not inquire about abuse while the aunt is still in the room. The nurse should not address all questions to the aunt, nor should the nurse assume that the patient is slow to respond due to adolescent development.</t>
  </si>
  <si>
    <t>The nurse is caring for an 8-month-old child abuse victim who was repeatedly burned with cigarettes. The nurse is preparing the patient for a skeletal survey. A nursing assistant asks why a skeletal survey has been ordered for a patient with burn injuries. The nurse's BEST response is:</t>
  </si>
  <si>
    <t>"The skeletal survey assesses for other injuries and signs of abuse, such as fractured bones."</t>
  </si>
  <si>
    <t>"The skeletal survey assesses range of motion and helps determine if wounds are self-inflicted."</t>
  </si>
  <si>
    <t>"The skeletal survey assesses for growth milestones in infants to rule out structural disease."</t>
  </si>
  <si>
    <t>"All infants admitted to the unit should receive a skeletal survey."</t>
  </si>
  <si>
    <t>When managing a child victim of abuse who is immobile or too young to provide a history, it is important to assess for all possible injuries. This can be done with a skeletal survey, which is a series of radiographs that looks at the entire anatomical structure for evidence of fractures consistent with abuse.</t>
  </si>
  <si>
    <t>Prior to discharging a newborn, the nurse should ensure that close family members have been vaccinated against which disease?</t>
  </si>
  <si>
    <t>Tetanus</t>
  </si>
  <si>
    <t>Polio</t>
  </si>
  <si>
    <t xml:space="preserve">Pertussis, also known as whooping cough, is a very contagious respiratory disease that presents a high risk to infants. Close family members of newborns should be vaccinated against pertussis to protect the infant. Generally, children receive the DTaP vaccine, and adolescents and adults receive the Tdap vaccine, as part of routine preventive care. It is not necessary for family members to receive the diphtheria, tetanus, or polio vaccinations before discharge of the newborn. </t>
  </si>
  <si>
    <t>A 14-year-old female patient is admitted after ingesting approximately 25 acetaminophen tablets. After assessing airway, breathing, and circulation, the nurse should prepare to:</t>
  </si>
  <si>
    <t>Administer acetylcysteine</t>
  </si>
  <si>
    <t>Establish two large-bore intravenous lines</t>
  </si>
  <si>
    <t>Obtain an EKG</t>
  </si>
  <si>
    <t>Administer dopamine</t>
  </si>
  <si>
    <t>The nurse should prepare to administer acetylcysteine, which is the appropriate initial treatment for acetaminophen overdose. Multiple large-bore intravenous lines are appropriate for trauma or hypovolemia. Obtaining an EKG is not an initial action for acetaminophen overdose, and dopamine is not used in the treatment of acetaminophen overdose.</t>
  </si>
  <si>
    <t>A patient presents to the ED with tenderness and swelling of the forearm after a fall. What acronym should guide the nurse’s assessment?</t>
  </si>
  <si>
    <t>The 2 Ps</t>
  </si>
  <si>
    <t>The 3 Ps</t>
  </si>
  <si>
    <t>The 4 Ps</t>
  </si>
  <si>
    <t>The 5 Ps</t>
  </si>
  <si>
    <t>All patients with a suspected fracture should be assessed for the 5 Ps: pain, pulse, pallor, paresthesia, and paralysis.</t>
  </si>
  <si>
    <t>Which of the following is a safety measure to reduce risk of infant suffocation?</t>
  </si>
  <si>
    <t>Keeping blankets in crib firmly tucked</t>
  </si>
  <si>
    <t>Keeping side rails of crib up</t>
  </si>
  <si>
    <t>Positioning crib by a window</t>
  </si>
  <si>
    <t>Ensuring that crib is free of pillows</t>
  </si>
  <si>
    <t>The most common causes of unintentional injury in patients younger than 1 year are suffocation and motor vehicle crashes. To reduce risk of infant suffocation, cribs should be kept free of pillows and blankets, even those that are firmly tucked. While the side rails should always be kept up, it is a not a measure to reduce risk of infant suffocation. Cribs should be kept away from windows because they could have drapes or blind cords that can become wrapped around the infant’s neck, causing suffocation.</t>
  </si>
  <si>
    <t>The nurse is caring for a 4-year-old patient in status epilepticus. Which of the following is the PRIORITY nursing action?</t>
  </si>
  <si>
    <t>Maintain airway</t>
  </si>
  <si>
    <t>Obtain electrolyte values</t>
  </si>
  <si>
    <t>Obtain a blood glucose level</t>
  </si>
  <si>
    <t>Administer anticonvulsants</t>
  </si>
  <si>
    <t>The priority nursing action for a patient in status epilepticus is the ABCs: airway, breathing, and circulation. Administration of anticonvulsants and obtaining blood glucose and electrolyte values should be done after basic life support is provided.</t>
  </si>
  <si>
    <t>Which abnormal lab value would be found in a 9-year-old patient who is taking oxcarbazepine for treatment of partial seizures?</t>
  </si>
  <si>
    <t>Folate 21 ng/mL</t>
  </si>
  <si>
    <t>Sodium 128 mEq/L</t>
  </si>
  <si>
    <t>Creatinine 1.0 mg/dL</t>
  </si>
  <si>
    <t>ALT 55 U/L</t>
  </si>
  <si>
    <t>Use of oxcarbazepine can cause hyponatremia and should be monitored and treated accordingly. A sodium level of 128 mEq/L is considered hyponatremic. Folate monitoring is required with phenytoin therapy. Normal plasma folate levels in children are 5 to 21 ng/mL. Creatinine should be monitored when a patient is receiving oxcarbazepine; however, a value of 0.5 to 1.0 mg/dL is normal. ALT (alanine transaminase) should be monitored when a patient is on phenobarbital. Normal ALT levels are 7 to 55 U/L.</t>
  </si>
  <si>
    <t>Which of the following is the BEST example of the nurse providing atraumatic care?</t>
  </si>
  <si>
    <t>Using the largest-gauge needle required</t>
  </si>
  <si>
    <t>Incorporating the use of pharmacologic strategies</t>
  </si>
  <si>
    <t>Placing a peripherally inserted central catheter if multiple blood samples are required</t>
  </si>
  <si>
    <t>Opting for heel stick instead of venipuncture when a large amount of blood is required in a newborn</t>
  </si>
  <si>
    <t>Using an intermittent infusion device or a peripherally inserted central catheter if multiple or repeated blood samples are necessary will decrease pain for the patient. This is an example of the nurse providing atraumatic care. Using the smallest-gauge needle possible or an automated lancet device to puncture the skin will reduce pain with a needlestick. The nurse should try nonpharmacologic strategies for pain relief first or in conjunction with pharmacologic interventions. The nurse may opt for venipuncture in newborns instead of a heel stick if the amount of blood required would result in significant painful squeezing of the heel.</t>
  </si>
  <si>
    <t>Atraumatic care</t>
  </si>
  <si>
    <t>The nurse is providing postoperative care for an 8-year-old patient who underwent a thyroidectomy. Which of the following emergency supplies should be kept at the bedside?</t>
  </si>
  <si>
    <t>Central-line tray</t>
  </si>
  <si>
    <t>Chest tube set</t>
  </si>
  <si>
    <t>Tracheostomy set</t>
  </si>
  <si>
    <t>Intraosseous kit</t>
  </si>
  <si>
    <t>After a thyroidectomy, it is important to watch for signs of laryngospasm and to always have a tracheostomy set at the bedside for emergency use. Thyroidectomy is a high-risk procedure, and airway complications often occur. A central-line tray, a chest tube set, and an intraosseous kit are not indicated for a patient status post thyroidectomy.</t>
  </si>
  <si>
    <t>Which of the following is the MOST likely spinal muscle atrophy (SMA) diagnosis in a 1-month-old patient?</t>
  </si>
  <si>
    <t>SMA type 1</t>
  </si>
  <si>
    <t>SMA type 2</t>
  </si>
  <si>
    <t>SMA type 3</t>
  </si>
  <si>
    <t>SMA type 4</t>
  </si>
  <si>
    <t>SMA Type 1</t>
  </si>
  <si>
    <t>SMA is a genetic disorder characterized by weakness and atrophy in skeletal muscles. Type 1 is the most severe form of SMA, and it begins in utero or in early infancy. SMA type 2 occurs in later infancy. SMA type 3 is a juvenile form of the disease. SMA type 4 does not exist.</t>
  </si>
  <si>
    <t>Cranial nerve III is the:</t>
  </si>
  <si>
    <t>Olfactory nerve</t>
  </si>
  <si>
    <t>Trochlear nerve</t>
  </si>
  <si>
    <t>Trigeminal nerve</t>
  </si>
  <si>
    <t>Oculomotor nerve</t>
  </si>
  <si>
    <t>The oculomotor nerve is also known as cranial nerve III. The olfactory nerve is cranial nerve I, the trochlear nerve is cranial nerve IV, and the trigeminal nerve is cranial nerve V.</t>
  </si>
  <si>
    <t>The nurse is managing a patient after a cleft lip repair. Which of the following nursing interventions is MOST critical?</t>
  </si>
  <si>
    <t>Maintain a patent airway</t>
  </si>
  <si>
    <t>Use a syringe with tubing to administer food</t>
  </si>
  <si>
    <t>Monitor for pain and administer medications</t>
  </si>
  <si>
    <t>Maintaining a patent airway is the most critical nursing intervention. Positioning the patient on their abdomen or side allows for a patent airway. The nurse should observe for cyanosis to detect signs of respiratory distress or compromise as the infant begins to breathe through their nose. The nurse should also perform other less-critical interventions, such as maintaining an intact suture line by keeping it clean and keeping the patient’s hands out of their mouth. When it is time to feed the patient, the nurse should use a syringe with tubing to administer foods in the side of the mouth. This will prevent trauma to the suture line. The nurse should also monitor for and address any pain or discomfort.</t>
  </si>
  <si>
    <t>Which of the following nursing actions can help reduce a patient's fever?</t>
  </si>
  <si>
    <t>Promoting shivering</t>
  </si>
  <si>
    <t>Applying heat packs</t>
  </si>
  <si>
    <t>Administering NSAIDs</t>
  </si>
  <si>
    <t>Placing a blanket</t>
  </si>
  <si>
    <t>Administer NSAIDs</t>
  </si>
  <si>
    <t>Reducing fever helps maintain optimal cerebral perfusion by reducing the metabolic needs of the brain. To reduce fever, the nurse can administer antipyretics such as acetaminophen and NSAIDs such as ibuprofen. The nurse can reduce environmental temperature by using cooling blankets, fans, cold compresses, and tepid baths. It is important to avoid measures that cause shivering because shivering increases heat production.</t>
  </si>
  <si>
    <t>Which of the following is an indication for the intramuscular (IM) administration of epinephrine in a child with a life-threatening anaphylactic reaction?</t>
  </si>
  <si>
    <t>Barky cough</t>
  </si>
  <si>
    <t>Fever</t>
  </si>
  <si>
    <t>Indications for the IM administration of epinephrine include itching sensation or tightness in the throat, hoarseness, barky cough, difficulty swallowing, dyspnea, wheezing or stridor, itching, flushing, urticaria, angioedema, anxiety, confusion, sense of impending doom, syncope, bradycardia, dysrhythmia, or hypotension. Vomiting, fever, and pallor are not signs of life-threatening anaphylactic reaction.</t>
  </si>
  <si>
    <t>Which test is MOST diagnostic for an arteriovenous malformation (AVM)?</t>
  </si>
  <si>
    <t>Ultrasound</t>
  </si>
  <si>
    <t>Cerebral arteriography</t>
  </si>
  <si>
    <t>MRI</t>
  </si>
  <si>
    <t>CT scan</t>
  </si>
  <si>
    <t>The cerebral arteriography test is the most diagnostic test for AVM. This test indicates the location and characteristics of the feeding arteries and draining veins. A CT scan uses a series of x-rays to create a thorough cross-sectional image of the brain. MRI uses magnets and radio waves to create comprehensive images of the brain. It is more sensitive than a CT scan and can show more subtle changes in brain tissue. Ultrasound is an imaging method that uses high-frequency sound waves to produce images of structures. It is not used on the brain.</t>
  </si>
  <si>
    <t>A 10-year-old patient presents to the ED with an animal bite. Which of the following is MOST likely to be included in this patient’s treatment plan?</t>
  </si>
  <si>
    <t>Admission for observation, administration of tetanus toxoid and antibiotics</t>
  </si>
  <si>
    <t>Radiographic studies, administration of tetanus toxoid and antibiotics</t>
  </si>
  <si>
    <t>Radiographic studies, admission for observation, administration of antibiotics</t>
  </si>
  <si>
    <t>Admission for observation, radiographic studies, administration of tetanus toxoid</t>
  </si>
  <si>
    <t>The treatment plan for this patient will likely include the following: radiographic studies to assess for underlying damage due to the bite, a tetanus vaccine, and antibiotics to prevent infection. There are no indications that the patient should be admitted for observation.</t>
  </si>
  <si>
    <t>The nurse is performing a neurologic assessment of an adolescent patient. When passively providing forward flexion of the neck, the patient involuntarily raises their knees. The patient is exhibiting a positive:</t>
  </si>
  <si>
    <t>Battle sign</t>
  </si>
  <si>
    <t>Kernig sign</t>
  </si>
  <si>
    <t>Babinski sign</t>
  </si>
  <si>
    <t>Brudzinski sign</t>
  </si>
  <si>
    <t>Brudzinski sign is positive when passive forward flexion of the neck causes the patient to involuntarily raise their knees or hips in flexion. Kernig sign is performed by having the patient, positioned on their back with hips and knees flexed, extend the leg passively. The test is positive if the leg extension causes pain. In children older than 2 years, a positive Babinski sign occurs when the big toe bends up and back to the top of the foot and the other toes fan out. This can indicate an underlying nervous system or brain condition that is causing reflexes to react abnormally. Battle sign is a bruise behind the ear that indicates a fracture at the bottom of the skull.</t>
  </si>
  <si>
    <t>To prevent mechanical friction while rewarming a frostbitten extremity, the nurse will:</t>
  </si>
  <si>
    <t>Apply dry heat</t>
  </si>
  <si>
    <t>Stop rewarming if the patient indicates pain</t>
  </si>
  <si>
    <t>Avoid tissue-to-tissue contact</t>
  </si>
  <si>
    <t>Apply sterile gauze bandages</t>
  </si>
  <si>
    <t>Rapid rewarming in circulating water is the recommended treatment for frostbite. The nurse can prevent mechanical friction by not touching the extremity and by avoiding tissue-to-tissue contact. The nurse should avoid applying dry heat, as the loss of temperature sensitivity in the injured area may lead to burns. Sterile nonadherent dressings should be used, not sterile gauze bandages. The most common error in this stage of treatment is premature termination of the rewarming process because of reperfusion pain.</t>
  </si>
  <si>
    <t>High doses of which supplement can cause urine to turn bright yellow?</t>
  </si>
  <si>
    <t>Riboflavin</t>
  </si>
  <si>
    <t>Anthocyanin</t>
  </si>
  <si>
    <t>Vitamin B12</t>
  </si>
  <si>
    <t>Beetroot</t>
  </si>
  <si>
    <t>Riboflavin is a water-soluble vitamin that has a naturally intense yellow color. Any excess riboflavin in the body is excreted through the urine, causing a distinctive bright or “neon” yellow appearance. Anthocyanin can cause urine to turn a blue-green color. High doses of certain forms of vitamin B12 can tinge urine with a light pink or reddish color. Beetroot (and beetroot supplements) can cause a red or pinkish discoloration of urine (known as “beeturia”).</t>
  </si>
  <si>
    <t>White blood cells</t>
  </si>
  <si>
    <t>Which stage of Erikson’s psychosocial theory occurs between the ages of 6 and 11 years?</t>
  </si>
  <si>
    <t>Initiative versus guilt</t>
  </si>
  <si>
    <t>Industry versus inferiority</t>
  </si>
  <si>
    <t>Identity versus role diffusion</t>
  </si>
  <si>
    <t>Autonomy versus shame and doubt</t>
  </si>
  <si>
    <t>At age 6 to 11 years, children begin to develop a sense of pride in their accomplishments, which takes place in the industry versus inferiority stage. Initiative versus guilt, when children assert themselves more frequently and develop a sense of initiative, occurs at age 3 to 5 years. At age 1 to 3 years, children begin to gain their independence. This is the autonomy versus shame and doubt stage. Identity versus role diffusion happens from age 11 years to the end of adolescence. In this stage, the child becomes more independent and begins to form their own identity.</t>
  </si>
  <si>
    <t>The nurse is caring for a 13-year-old patient who was admitted with right lower quadrant abdominal pain, fever, anorexia, and vomiting. The patient tells the nurse that their abdomen no longer hurts. The nurse's BEST action is to:</t>
  </si>
  <si>
    <t>Prepare the patient for surgery</t>
  </si>
  <si>
    <t>Start a clear liquid diet</t>
  </si>
  <si>
    <t>Prepare to administer bisacodyl</t>
  </si>
  <si>
    <t>Prepare to administer ondansetron</t>
  </si>
  <si>
    <t>Right lower quadrant abdominal pain, fever, anorexia, and vomiting are signs of appendicitis. In addition, the patient has signs of peritonitis, which is caused by leakage or a hole in the intestines, such as from a burst appendix. A hallmark sign of peritonitis is the sudden relief from pain. Peritonitis is a life-threatening condition that requires emergency surgery. The patient should not be given food or liquids in preparation for surgery. Laxatives and enemas stimulate bowel motility and increase the risk for perforation.</t>
  </si>
  <si>
    <t>According to the Centers for Disease Control and Prevention (CDC) and the American Academy of Pediatrics (AAP), at what age should blood pressure screenings be started in children?</t>
  </si>
  <si>
    <t>17 years</t>
  </si>
  <si>
    <t>3 years</t>
  </si>
  <si>
    <t>12 years</t>
  </si>
  <si>
    <t>6 years</t>
  </si>
  <si>
    <t>The CDC and the AAP advocate that blood pressure screenings begin as young as age 3 years. This recommendation differs from that of the U.S. Preventive Services Task Force, which recommends that all individuals 18 years and older be screened for high blood pressure.</t>
  </si>
  <si>
    <t>A 4-year-old male patient is admitted for regression in gross motor skills. As the patient is walking to his room, the nurse observes a waddling gait. Which of the following is MOST likely to be included in the patient's discharge instructions?</t>
  </si>
  <si>
    <t>Consume a high-protein, low-fiber, low-calorie diet</t>
  </si>
  <si>
    <t>Wear high-top sneakers</t>
  </si>
  <si>
    <t>Limit fluid intake</t>
  </si>
  <si>
    <t>Limit stretching exercises</t>
  </si>
  <si>
    <t>Duchenne muscular dystrophy (DMD) is a genetic disorder marked by muscular deterioration that progresses throughout childhood. Insidious onset occurs between ages 3 and 5 years. It occurs only in males because of a defect in the X chromosome. It begins with pelvic girdle weakness, which is assessed by a waddling gait and falling. Other assessment findings include cardiac or pulmonary failure, decreased ability to perform self-care activities, delayed and regressed motor development, eventual contractures and muscle hypertrophy, use of the hands to push up from the floor when rising from a sitting or supine position, and toe walking. Management includes a high-fiber, high-protein, and low-calorie diet with increased fluid intake to help to prevent constipation. The nurse should encourage use of a footboard, high-top sneakers, and a foot cradle to increase comfort and prevent footdrop. Patients should be encouraged to safely exercise and stretch with the assistance of physical therapists.</t>
  </si>
  <si>
    <t>The nurse is assessing a patient with Ewing sarcoma. Which of the following findings is an indicator of poor prognosis?</t>
  </si>
  <si>
    <t>Small tumor</t>
  </si>
  <si>
    <t>Significant pelvic involvement</t>
  </si>
  <si>
    <t>Low lactate dehydrogenase</t>
  </si>
  <si>
    <t>Localized tumor</t>
  </si>
  <si>
    <t>The outcome for a child with Ewing sarcoma is largely dependent on whether or not there has been metastasis. Patients with a small, localized primary tumor have a better prognosis. Survival rates are poor in patients with significant pelvic involvement or metastatic disease. Higher levels of lactate dehydrogenase (LDH) are also associated with poorer prognosis.</t>
  </si>
  <si>
    <t>Which of the following terms best describes an immovable joint?</t>
  </si>
  <si>
    <t>Amphiarthrosis</t>
  </si>
  <si>
    <t>Diarthrosis</t>
  </si>
  <si>
    <t>Synarthrosis</t>
  </si>
  <si>
    <t>Synovial</t>
  </si>
  <si>
    <t>Synarthrosis refers to the function of an immovable joint. Amphiarthrosis refers to a joint that is slightly movable. Diarthrosis refers to a joint that is freely movable. Synovial describes a joint's structure, not its function.</t>
  </si>
  <si>
    <t>An infant in the neonatal unit is placed on humidified oxygen for acute bronchiolitis. The nurse would monitor for which sign or symptom?</t>
  </si>
  <si>
    <t>Clubbing of the nails</t>
  </si>
  <si>
    <t>Respiratory rate of 15 breaths/min</t>
  </si>
  <si>
    <t>Hyperactivity</t>
  </si>
  <si>
    <t>Wheezing with flaring of the nostrils</t>
  </si>
  <si>
    <t>Bronchiolitis is an acute inflammatory injury of the bronchioles that is usually caused by a viral infection. This condition may occur in persons of any age, but severe symptoms are more common in young infants. The condition most commonly occurs during the winter months. The nurse should monitor for wheezing, as well as other symptoms such as shortness of breath, cyanosis, rattling sounds in the lungs, fatigue, ribs that appear sunken during attempts to inhale, nasal flaring, hyperventilation, and cough.</t>
  </si>
  <si>
    <t>The nurse is preparing to apply a preoperative skin antiseptic solution to a 3-week-old patient. Which types of antiseptic solution should be avoided?</t>
  </si>
  <si>
    <t>Alcohol- and sterile water–based solutions</t>
  </si>
  <si>
    <t>Alcohol-based and povidone-iodine solutions</t>
  </si>
  <si>
    <t>Alcohol- and iodophor-based solutions</t>
  </si>
  <si>
    <t>Alcohol- and chlorhexidine-based solutions</t>
  </si>
  <si>
    <t>Alcohol- and chlorhexidine-based preoperative skin antiseptic solutions should be avoided in neonates due to an increased risk for chemical burns. These antiseptic agents are approved for use with toddlers, adolescents, and adults. Povidone-iodine is the preferred product for neonates. Iodophor-based solutions are considered a viable alternative; however, they may be less effective.</t>
  </si>
  <si>
    <t>How long before surgery should breast milk consumption be discontinued in an infant?</t>
  </si>
  <si>
    <t>2 hours</t>
  </si>
  <si>
    <t>4 hours</t>
  </si>
  <si>
    <t>6 hours</t>
  </si>
  <si>
    <t>8 hours</t>
  </si>
  <si>
    <t>The American Society of Anesthesiologists recommends that breast milk consumption be discontinued 4 hours before surgery. Patients should fast from fatty foods and meats 8 hours before surgery, nonhuman milk and light meals 6 hours prior, and clear liquids (e.g., water, pulp-free juice, tea or coffee without milk) 2 hours prior to receiving anesthetic.</t>
  </si>
  <si>
    <t>Which of the following is an IMMEDIATE goal when treating a patient with traumatic brain injury (TBI)?</t>
  </si>
  <si>
    <t>Prevent hypotension and hyperthermia</t>
  </si>
  <si>
    <t>Prevent hypotension and hypothermia</t>
  </si>
  <si>
    <t>Prevent hypoxemia and hypothermia</t>
  </si>
  <si>
    <t>Prevent hypotension and hypoxemia</t>
  </si>
  <si>
    <t>The goal while treating any child with TBI is to prevent hypotension and hypoxemia, which can occur as a result of increased metabolic demands. It is important to prevent or control hypotension and hypoxemia because they can quickly lead to secondary injuries. Hyperthermia may occur with posttraumatic cerebral inflammation, direct hypothalamic damage, or secondary infection resulting in fever.</t>
  </si>
  <si>
    <t>Which of the following is an example of emotional abuse?</t>
  </si>
  <si>
    <t>Isolating the child from a divorced parent</t>
  </si>
  <si>
    <t>Whipping the child when they misbehave at school</t>
  </si>
  <si>
    <t>Not providing breakfast and dinner for the child</t>
  </si>
  <si>
    <t>Making only minimal efforts to support and communicate with the child</t>
  </si>
  <si>
    <t>Emotional abuse occurs when a perpetrator inflicts anguish or distress on a child with verbal or nonverbal acts. Isolation is a form of emotional abuse. Whipping a child is an example of physical abuse. Not providing necessities such as adequate nutrition is classified as neglect. Making only minimal efforts to support and communicate with the child is a form of abandonment.</t>
  </si>
  <si>
    <t>The nurse is caring for a 4-year-old child who was admitted for an orthopedic injury. The child's family recently emigrated from another country. The nurse notices that the child does not eat the meals provided and is losing weight. Which of the following is the MOST appropriate question for the nurse to ask the parents?</t>
  </si>
  <si>
    <t>"Why isn't your child eating their meals?"</t>
  </si>
  <si>
    <t>"Are you aware that your child is losing weight?"</t>
  </si>
  <si>
    <t>"Does your child typically eat at home?"</t>
  </si>
  <si>
    <t>"What type of food does your child eat at home?"</t>
  </si>
  <si>
    <t>The child recently emigrated from another country, so the nurse should be sensitive to any potential cultural or religious practices that may impact food consumption. Cultural food preferences often put the patient at risk for inadequate nutrition. By exploring the foods the patient eats at home, the nurse can assess the patient’s dietary preferences and restrictions and adjust the meal plan accordingly.</t>
  </si>
  <si>
    <t>The nurse is caring for a 12-year-old patient who was diagnosed with infective endocarditis 5 days ago. The patient now requires dental surgery. The nurse anticipates that which of the following antibiotics will be ordered?</t>
  </si>
  <si>
    <t>Amoxicillin 2 g  x  1 dose</t>
  </si>
  <si>
    <t>Amoxicillin 50 mg/kg 1 hour before procedure</t>
  </si>
  <si>
    <t>Clindamycin 600 mg</t>
  </si>
  <si>
    <t>Cephalexin 2 g</t>
  </si>
  <si>
    <t>A patient with infective endocarditis should take amoxicillin 50 mg/kg 1 hour before any dental procedure. Amoxicillin 2 g would not be appropriate for a patient this age. Clindamycin and cephalexin would be prescribed only if the child had a penicillin allergy.</t>
  </si>
  <si>
    <t>The nurse is developing a health promotion program for teenagers at a local community center. The first topic is the primary prevention of type 2 diabetes. Which of the following will be included in the presentation?</t>
  </si>
  <si>
    <t>Annual body mass index assessment</t>
  </si>
  <si>
    <t>Bariatric surgery</t>
  </si>
  <si>
    <t>Pharmacologic therapy</t>
  </si>
  <si>
    <t>150 min/wk of exercise</t>
  </si>
  <si>
    <t>Primary interventions seek to prevent a health issue before it begins. Dietary choices, exercise habits, and immunizations are examples of primary interventions. Secondary interventions are screening activities to determine if a patient is at risk for a disease or condition, such as Pap tests, eye exams, monitoring body mass index, and mammography. Pharmacologic therapy and surgery are examples of tertiary interventions, which may be provided after a patient has been diagnosed with a condition.</t>
  </si>
  <si>
    <t>A parent reports that their child frequently stops while walking, squats, and refuses to walk farther. They report than the child "sometimes looks blue" while squatting. The nurse suspects that the child is squatting to:</t>
  </si>
  <si>
    <t>Increase venous blood flow to their heart</t>
  </si>
  <si>
    <t>Decrease venous blood flow to their heart</t>
  </si>
  <si>
    <t>Increase venous blood flow to their lungs</t>
  </si>
  <si>
    <t>Decrease venous blood flow to their lungs</t>
  </si>
  <si>
    <t>The nurse should suspect that the child is experiencing tetralogy of Fallot. Tetralogy of Fallot manifests as a loud systolic murmur, clubbing of the fingers, and "tet spells," when the child may be cyanotic and faint. Tet spells are caused by a rapid drop in the amount of oxygen in the blood. Squatting during a tet episode increases the venous blood flow to the lungs, allowing more blood to be oxygenated to relieve the cyanotic episode. Tetralogy of Fallot is a combination of four congenital heart defects. These defects cause the oxygen-poor blood to flow out of the heart and to the rest of the body.</t>
  </si>
  <si>
    <t>The nurse assesses a patient post Fontan repair for hypoplastic left heart. The patient appears cyanotic and has an oxygen saturation of 80%. The nurse should:</t>
  </si>
  <si>
    <t>Start oxygen, reassure the parents that the repair is functioning, and document normal findings</t>
  </si>
  <si>
    <t>Reassure the parents that the repair is functioning, document normal findings, and feed the patient</t>
  </si>
  <si>
    <t>Start oxygen, notify the surgeon, and call the rapid response team</t>
  </si>
  <si>
    <t>Reassure the parents that the repair is functioning, feed the patient, and start oxygen</t>
  </si>
  <si>
    <t>After Fontan repair, deoxygenated and oxygenated blood no longer mix, so the pulse oximeter reading should be 90% or above, and the patient should not appear cyanotic. A pulse oximeter reading of 80% is not a normal finding. The nurse should start oxygen, notify the surgeon, and call the rapid response team. The infant should not be fed because immediate surgery is required.</t>
  </si>
  <si>
    <t>An infant admitted for shaken baby syndrome has poor capillary refill, tachypnea, and a falling blood pressure. The nurse should:</t>
  </si>
  <si>
    <t>Administer oxygen, call the rapid response team, and elevate the infant's legs above the heart</t>
  </si>
  <si>
    <t>Administer oxygen, call the rapid response team, and keep the infant positioned flat</t>
  </si>
  <si>
    <t>Elevate the infant's legs above the heart and administer oxygen</t>
  </si>
  <si>
    <t>Keep the infant positioned flat and call the rapid response team</t>
  </si>
  <si>
    <t>The infant is in hypovolemic shock, which is an emergency situation. Emergency treatment includes administration of oxygen, elevating the legs above the heart, and calling the rapid response team because the patient will need fluid volume and potential administration of epinephrine.</t>
  </si>
  <si>
    <t>The nurse is caring for a child who is postoperative day 2 from a transsphenoidal hypophysectomy. The child is complaining of insatiable thirst. Morning labs showed a sodium level of 129 mEq/L. The nurse's BEST action is to:</t>
  </si>
  <si>
    <t>Give the child up to 3 L of water a day</t>
  </si>
  <si>
    <t>Start intravenous fluids to replete the volume loss</t>
  </si>
  <si>
    <t>Restrict fluids and replace sodium</t>
  </si>
  <si>
    <t>Give the child an electrolyte solution</t>
  </si>
  <si>
    <t>Trauma, surgery, and medications can cause syndrome of inappropriate antidiuretic hormone (SIADH). A patient will usually complain of excessive thirst, and their blood work will show disproportionate hyponatremia. The nurse should restrict fluids and replace the sodium lost to urine output. Administering 3 L of water or intravenous fluids or providing an electrolyte solution will worsen the hyponatremia and hemodilution.</t>
  </si>
  <si>
    <t>A 12-year-old patient presents to the ED with lower leg pain that causes frequent awakening at night, fever, and recent weight loss. Which of the following tests will be used to diagnose the patient's condition?</t>
  </si>
  <si>
    <t>Serology, complete blood count (CBC), ultrasound</t>
  </si>
  <si>
    <t>Serology, CBC, MRI</t>
  </si>
  <si>
    <t>CBC, MRI, ultrasound</t>
  </si>
  <si>
    <t>Serology, MRI, ultrasound</t>
  </si>
  <si>
    <t>Signs and symptoms of Ewing sarcoma include pain and swelling over the affected site (often causing awakening at night), possible tenderness over the affected area, and weight loss. Occasionally, a soft tissue mass may be felt. Fever occurs in 25% of patients. If the tumor is over the leg bone, a limp may be present. If the tumor is on one of the ribs, shortness of breath may be evident. In physically active children, the disease may be initially diagnosed as a sports injury. Serology reveals the cells of Ewing sarcoma (the cells stain a characteristic blue color), which are described as small and round. They are tightly packed and arranged into compartments by bands of fibrous tissue. Blood tests include CBC, serum chemistries, and lactase dehydrogenase (LDH). A high LDH is associated with poorer prognosis. X-rays reveal the tumor and, commonly, the area of bone destruction around the tumor. CT scanning and MRI should be performed to determine as precisely as possible the extent of local disease. A chest x-ray, bone scan, and bone marrow biopsy may be performed to determine the extent of metastasis, if any. Ultrasounds are not used to diagnose Ewing sarcoma.</t>
  </si>
  <si>
    <t>The nurse is assessing an 8-month-old patient when the infant becomes upset, starts crying, and begins to turn blue around the mouth. In which position will the nurse place the infant to increase systemic vascular resistance?</t>
  </si>
  <si>
    <t>Semi-Fowler</t>
  </si>
  <si>
    <t>Trendelenburg</t>
  </si>
  <si>
    <t>Knee-chest</t>
  </si>
  <si>
    <t>Prone</t>
  </si>
  <si>
    <t>The infant is exhibiting signs of a "tet spell" that is associated with tetralogy of Fallot. The infant should be placed in a knee-chest position to increase systemic vascular resistance and promote oxygen-rich blood flow back to the heart. Placing the child on their stomach, prone, will not increase systemic vascular resistance. Semi-Fowler position (sitting the child up in bed at a 30- to 45-degree angle) would be used to ease breathing; however, it does not improve blood flow back to the heart. Trendelenburg position, or laying the child flat with their feet elevated and head down, is used in some surgeries and shock cases, but is not appropriate for this patient.</t>
  </si>
  <si>
    <t>A typically developing 6-month-old patient would be expected to exhibit which of the following reflexes?</t>
  </si>
  <si>
    <t>Stepping</t>
  </si>
  <si>
    <t>Palmar grasp</t>
  </si>
  <si>
    <t>A typically developing 6-month-old patient would exhibit the stepping reflex, which disappears before the patient is walking. The sucking, rooting, and palmar grasp reflexes disappear at age 3 to 4 months, so they should not be present in a 6-month-old infant.</t>
  </si>
  <si>
    <t>Moro reflex</t>
  </si>
  <si>
    <t>To assess cranial nerve XI, the nurse will ask the patient to:</t>
  </si>
  <si>
    <t>Smile and frown</t>
  </si>
  <si>
    <t>Stick out their tongue in all directions</t>
  </si>
  <si>
    <t>Follow an object or light with their eyes</t>
  </si>
  <si>
    <t>Shrug their shoulders and turn their head against mild resistance</t>
  </si>
  <si>
    <t>Cranial nerve XI is also known as the accessory nerve. It is assessed by asking the patient to shrug their shoulders and turn their head against mild resistance. Cranial nerve VII, the facial nerve, is assessed by asking the patient to make faces such as smiling and frowning. The patient sticking out their tongue in all directions will test cranial nerve XII, the hypoglossal nerve. When the patient follows an object or light with their eyes, they are using their oculomotor nerve, cranial nerve III.</t>
  </si>
  <si>
    <t>Which of the following symptoms would be a sign for the nurse to screen for myasthenia gravis?</t>
  </si>
  <si>
    <t>Ptosis</t>
  </si>
  <si>
    <t>Fatigue</t>
  </si>
  <si>
    <t>Weakness</t>
  </si>
  <si>
    <t>Difficulty swallowing</t>
  </si>
  <si>
    <t>A hallmark sign of myasthenia gravis is ptosis. Parents often report that their child looks tired or sad. While fatigue, weakness, and difficulty swallowing are all signs of a patient with potential myasthenia gravis, they are also signs and symptoms of many other disorders and are not specific to myasthenia gravis.</t>
  </si>
  <si>
    <t>Which of the following is a cause of communicating hydrocephalus?</t>
  </si>
  <si>
    <t>Aqueduct stenosis</t>
  </si>
  <si>
    <t>Neonatal meningitis</t>
  </si>
  <si>
    <t>Chiari malformation</t>
  </si>
  <si>
    <t>Nonobstructive, or communicating, hydrocephalus occurs when cerebrospinal fluid (CSF) is not obstructed in the ventricles but is inadequately reabsorbed in the subarachnoid space. It can be caused by subarachnoid hemorrhage and intrauterine infections. Obstructive, or noncommunicating, hydrocephalus results from the obstruction of CSF flow from the ventricles to the subarachnoid space. This is caused by neural tube defects, neonatal meningitis, trauma, tumors, and Chiari malformations.</t>
  </si>
  <si>
    <t>The nurse is caring for a 1-year-old patient admitted for a traumatic brain injury (TBI) secondary to shaken baby syndrome. The plan of care is MOST likely to include:</t>
  </si>
  <si>
    <t>Preparing for serial x-rays</t>
  </si>
  <si>
    <t>Monitoring intracranial pressure</t>
  </si>
  <si>
    <t>Assessing deep tendon reflexes</t>
  </si>
  <si>
    <t>Drawing blood for complete blood count</t>
  </si>
  <si>
    <t>TBIs secondary to shaken baby syndrome include subdural hematoma. The nurse should closely monitor the intracranial pressure, blood glucose, and blood pressure. It is important to maintain perfusion and promote a healing environment. Serial x-rays will expose the child to unnecessary radiation and are not indicated in TBI. Deep tendon reflexes are not routinely performed in TBI patients. A complete blood count will show if the child has any bleeding disorders, but it is not specific to the plan of care for a TBI patient.</t>
  </si>
  <si>
    <t>The nurse is assessing an infant with an increased head size, shiny skin, and the "setting sun" sign. Based on this assessment, the nurse suspects which of the following diagnoses?</t>
  </si>
  <si>
    <t>Spina bifida</t>
  </si>
  <si>
    <t>Cerebral palsy</t>
  </si>
  <si>
    <t>Hydrocephalus</t>
  </si>
  <si>
    <t>The infant presents with classic signs of hydrocephalus: increased head size, shiny skin, and the "setting sun” sign, which is sclera seen above the pupils. Other signs include bulging fontanelles and, in older children, headache. Hydrocephalus is a common complication of spina bifida, which manifests as abnormality of the spine, paralysis of the legs, and poor control of bladder and bowel. An infant with Down syndrome may have close-set and upward-slanting eyes, a small head, a rounded face, a flat nose, a protruding tongue that interferes with sucking, and a straight line across the palms.</t>
  </si>
  <si>
    <t>Which of the following is the MOST accurate statement regarding cerebral palsy?</t>
  </si>
  <si>
    <t>Cerebral palsy is primarily caused by a birth accident.</t>
  </si>
  <si>
    <t>The majority of cerebral palsy cases have unknown etiology.</t>
  </si>
  <si>
    <t>Cerebral palsy cannot occur before birth.</t>
  </si>
  <si>
    <t>Prematurity is a risk factor for cerebral palsy.</t>
  </si>
  <si>
    <t>Cerebral palsy commonly results from existing prenatal brain abnormalities, with prematurity being the single most important determinant. Other prenatal or perinatal risk factors include asphyxia, ischemia, perinatal trauma, congenital and perinatal infections, and perinatal problems such as hyperbilirubinemia and hypoglycemia. Infections, trauma, and tumors can cause cerebral palsy in early infancy. Approximately 24% of cerebral palsy cases have unknown etiology.</t>
  </si>
  <si>
    <t>The nurse is caring for a patient who is being treated with levetiracetam for new-onset epileptic activity. For which lab would the nurse obtain a baseline value?</t>
  </si>
  <si>
    <t>Hematocrit</t>
  </si>
  <si>
    <t>Folate</t>
  </si>
  <si>
    <t>Creatinine</t>
  </si>
  <si>
    <t>Aspartate transaminase</t>
  </si>
  <si>
    <t>Levetiracetam can be nephrotoxic, so it is important to establish a baseline creatinine level. Patients on lorazepam, phenobarbital, and phenytoin require monitoring of complete blood count (including hematocrit). Patients on phenobarbital and phenytoin also require baseline liver enzymes, including aspartate transaminase. In addition, patients on phenytoin require a baseline folate value.</t>
  </si>
  <si>
    <t>The nurse is caring for an infant who has been admitted for complications of shaken baby syndrome. The infant has been sleeping more today, has been eating less, and is intermittently lethargic. Which of the following interventions is MOST likely to be ordered?</t>
  </si>
  <si>
    <t>Intravenous fluids for hydration</t>
  </si>
  <si>
    <t>Preparation for CT scan of the head</t>
  </si>
  <si>
    <t>Initiation of enteral feeding</t>
  </si>
  <si>
    <t>Administration of intramuscular glucagon</t>
  </si>
  <si>
    <t>Shaken baby syndrome can cause traumatic brain injuries such as subdural hematomas. The nurse should prepare the infant for a CT scan of the head to monitor for bleeding. Intravenous fluids would not be appropriate for the patient because it is necessary to rule out increased intracranial pressure before administering more volume. Enteral feedings would not be first choice. Intramuscular glucagon would be administered only if the nurse obtained a blood glucose level that showed severe hypoglycemia.</t>
  </si>
  <si>
    <t>The nurse is assessing a neonate who is unable to move their left arm 24 hours after a home birth. Which of the following is the MOST accurate statement about the suspected diagnosis?</t>
  </si>
  <si>
    <t>The infant will likely recover completely with physical therapy.</t>
  </si>
  <si>
    <t>The condition will self-resolve in the first year.</t>
  </si>
  <si>
    <t>If improvement is not seen after 2 months, surgery will be required.</t>
  </si>
  <si>
    <t>This is a permanent condition.</t>
  </si>
  <si>
    <t>The neonate most likely has Erb palsy, which is caused by a brachial plexus injury during birth. Infants with Erb palsy present with an adducted arm, which is internally rotated at the shoulder. Therapy is initially conservative; 95% of infants with Erb palsy recover complete function with physical therapy only. The initial goal of therapy is to maintain passive range of motion, supple joints, and muscle strength. Indications for surgical exploration and reconstruction of the brachial plexus include failure of recovery of elbow flexion and shoulder abduction by the sixth month of life. Complete recovery may take up to 2 years. Infants should be examined regularly until either total recovery or an absence of improvement for 2 to 3 years is documented.</t>
  </si>
  <si>
    <t>The nurse is caring for a patient with an external ventricular drainage device. The patient has had 8 mL of cerebrospinal fluid on average every hour. When the nurse checks the device at 10 a.m., there is 20 mL of fluid in the chamber. The nurse's BEST action is to:</t>
  </si>
  <si>
    <t>Notify the physician or charge nurse</t>
  </si>
  <si>
    <t>Check the drainage volume again in 1 hour</t>
  </si>
  <si>
    <t>Ensure that all connections are secure and label tubing</t>
  </si>
  <si>
    <t>Check tubing for kinks, blockage, or closed clamps</t>
  </si>
  <si>
    <t>The nurse should notify the physician or charge nurse of any significant increase in drainage (at least 10 mL more than the previous volumes). Since the volume exceeds 10 mL more than the previous readings, the nurse should not wait another hour to check again. If there was minimal to no drainage, the nurse would check tubing for kinks, blockage, or closed clamps. Ensuring that all connections are secure and labeling tubing are things the nurse should do regularly, not in response to an increase in volume.</t>
  </si>
  <si>
    <t>Which of the following MOST accurately describes stage II of Hodgkin lymphoma?</t>
  </si>
  <si>
    <t>Involves lymph node regions on both sides of the diaphragm, involves adjacent organs or spleen</t>
  </si>
  <si>
    <t>Involves two or more lymph nodes in one area or on the same side of the diaphragm</t>
  </si>
  <si>
    <t>Is restricted to a single site or to a group of lymph nodes</t>
  </si>
  <si>
    <t>Is diffuse</t>
  </si>
  <si>
    <t>Hodgkin disease is a neoplastic disease that primarily involves the lymph nodes. It is rarely seen before age 5 years, and incidence increases during adolescence and young adulthood. The presenting symptom is a painless lump in the neck or supraclavicular area. Stage II involves two or more lymph nodes in one area or on the same side of the diaphragm. Stage I is restricted to a single site or group of lymph nodes. Stage III involves lymph node regions on both sides of the diaphragm, as well as adjacent organs or spleen. Stage IV is diffuse and has the least favorable prognosis.</t>
  </si>
  <si>
    <t>Children receiving high doses of salicylates should be monitored for deficiency in vitamin:</t>
  </si>
  <si>
    <t>E</t>
  </si>
  <si>
    <t>Children receiving high doses of salicylates may have impaired vitamin C storage. High doses of salicylates do not interfere with storage of vitamins D, E, and A.</t>
  </si>
  <si>
    <t>Sickle cell disease</t>
  </si>
  <si>
    <t>Which nursing actions are required when administering blood or blood products to a patient?</t>
  </si>
  <si>
    <t>Check morning vital signs and blood glucose levels</t>
  </si>
  <si>
    <t>Piggyback the blood into the primary intravenous line and clear the line before initiation</t>
  </si>
  <si>
    <t>Administer the transfusion slowly over 6 to 8 hours</t>
  </si>
  <si>
    <t>Check blood products against the order and use two patient identifiers</t>
  </si>
  <si>
    <t>When administering blood or blood products to a patient, nurses should always refer to policy and procedure specific to the facility where they work. There are common best practices that should be implemented. Unless it is an emergency, blood transfusion consent and blood typing and cross-matching are required prior to blood administration. Checking blood products against the order and using two patient identifiers is critical. Once blood is removed from the blood bank, it should be initiated within 30 minutes or returned. Immediately prior to administration, two licensed personnel must verify the correct blood product and patient. Blood products require a dedicated line for infusion and filtered intravenous tubing. Only normal saline should be used to prime the intravenous line, with no other solutions or medications used. Baseline vital signs should be taken just prior to initiating the transfusion, and the nurse must stay with the patient during the first 15 minutes of transfusion to monitor for any immediate reaction. Vital signs should be repeated 15 minutes after the transfusion is initiated, during the procedure per facility policy, at the conclusion of the transfusion, and 1 hour after the transfusion.</t>
  </si>
  <si>
    <t>The nurse is caring for a patient with a suspected acute hemolytic transfusion reaction. The nurse's PRIORITY is to prepare for which of the following tests?</t>
  </si>
  <si>
    <t>Hemoglobinuria</t>
  </si>
  <si>
    <t>New hemoglobin</t>
  </si>
  <si>
    <t>Direct antiglobulin</t>
  </si>
  <si>
    <t>Type and crossmatch</t>
  </si>
  <si>
    <t>Direct antiglobulin (also known as the Coombs test) is used to detect antibodies and proteins bound to the transfused red blood cells causing agglutination and hemolysis. The nurse may also send other laboratory tests, including hemoglobin, type and crossmatch, and urine to assess hemoglobinuria. Note that hemoglobinuria is not a lab test, so the nurse would need to collect urine to assess.</t>
  </si>
  <si>
    <t>The nurse notes a red, swollen joint in a febrile toddler who presents with a limp. The patient is irritable and favors the affected extremity. Upon assessment, the leg is warm and tender to touch. The nurse suspects that the patient MOST likely has:</t>
  </si>
  <si>
    <t>Osteomyelitis</t>
  </si>
  <si>
    <t>Wilms tumor</t>
  </si>
  <si>
    <t>Developmental hip dysplasia</t>
  </si>
  <si>
    <t>Greenstick fracture of the tibia</t>
  </si>
  <si>
    <t>Osteomyelitis is an infection of the bone, often seen in children, that presents with symptoms such as fever and localized warmth, swelling, tenderness, and redness over the affected area. In this case, the presence of a red, swollen joint; a fever; and the child’s irritability and favoring of the affected extremity strongly suggests an infection in the bone or joint, pointing toward osteomyelitis. Wilms tumor is a type of kidney cancer commonly found in children. It usually presents as an abdominal mass and would not manifest as joint-related symptoms. Developmental dysplasia of the hip is a condition in which the “ball and socket” joint of the hip does not properly form in infants and young children. While it may result in uneven leg length and limping, fever, redness, warmth, and acute swelling are not expected. A greenstick fracture occurs in young, soft bone, causing the bone to bend and break. A greenstick fracture involves a partial break in the bone and is common in children. While it may cause pain, and the child may favor the affected limb, it would not present with fever or signs of infection such as warmth, redness, and swelling unless there were a complication like an infection.</t>
  </si>
  <si>
    <t>A parent brings their 2-year-old child into the clinic for multiple bruises. The parent is concerned that their new significant other may be abusing the child when they are at work. A full physical assessment is performed on the child, including a panel of labs. The nurse informs the parent that the patient has a deficiency in anti-hemophilic factor, which is consistent with:</t>
  </si>
  <si>
    <t>Von Willebrand disease</t>
  </si>
  <si>
    <t>Hemophilia B</t>
  </si>
  <si>
    <t>Hemophilia A</t>
  </si>
  <si>
    <t>Aplastic anemia</t>
  </si>
  <si>
    <t>Many organic disorders can be mistaken for child abuse. Hemophilia A, or a deficiency of anti-hemophilic factor, is a hereditary X-linked recessive disorder that can present as prolonged hemorrhage, bleeding into joints, or bleeding into tissue space that results in bruising. Hemophilia B occurs with low levels of factor 9. Von Willebrand disease is caused by defective von Willebrand factor. Aplastic anemia occurs when the child stops producing adequate blood cells.</t>
  </si>
  <si>
    <t>A 3-year-old recently recovered from influenza has been admitted with a rash on the palms of their hands and on their feet, persistent vomiting, and generalized lethargy. The parents have been giving the child aspirin at home. The nurse recognizes that the patient is MOST likely experiencing:</t>
  </si>
  <si>
    <t>Hyponatremia</t>
  </si>
  <si>
    <t>Hyperammonemia</t>
  </si>
  <si>
    <t>Decreased prothrombin time</t>
  </si>
  <si>
    <t>The patient's symptoms are consistent with Reye syndrome. The cause is unknown, but it usually begins with a viral infection like influenza. A large number of cases in children are associated with aspirin use. Abnormalities in blood results may include hyperammonemia (normal levels are 15–45 mcg/dL), hypoglycemia (normal glucose is 70–120 mg/dL), and prolonged prothrombin time (normal range is 12.5–15.2 seconds). Sodium is not generally affected.</t>
  </si>
  <si>
    <t>Which of the following is the FIRST step when assessing an infant or a child for possible heart disease?</t>
  </si>
  <si>
    <t>Thorough nutrition history</t>
  </si>
  <si>
    <t>Complete physical examination</t>
  </si>
  <si>
    <t>Detailed family history</t>
  </si>
  <si>
    <t>Accurate health history</t>
  </si>
  <si>
    <t>Taking an accurate health history is the important first step in assessing an infant or a child for possible heart disease. Infants with low or high birth weights have increased incidence of heart disease. A detailed nutrition and family history are key steps as well, but the health history is the first step. During the family history, it is important to ask about the mother’s health history, pregnancy, and birth history. Mothers with chronic health conditions such as diabetes or lupus are more likely to have infants with heart disease. In addition, some medications are teratogenic to fetuses. Maternal alcohol use or substance use increases the risk for congenital heart defects. The physical examination follows the health, nutrition, and family histories.</t>
  </si>
  <si>
    <t>The nurse auscultates a child’s heart and hears a musical sound, which becomes louder when the child is in a supine position. The nurse recognizes that this sound is which kind of murmur?</t>
  </si>
  <si>
    <t>Systolic</t>
  </si>
  <si>
    <t>Diastolic</t>
  </si>
  <si>
    <t>Continuous</t>
  </si>
  <si>
    <t>Still’s</t>
  </si>
  <si>
    <t>Still’s murmur is benign, occurs during childhood years, and usually resolves by adolescence. Also called a functional murmur, it becomes louder when the patient is in a supine position or has a fever. There is minimal radiation, with a grade of I or II. Systolic murmurs occur during S1, are louder than diastolic murmurs, and can radiate to the neck or axillae. Diastolic murmurs always indicate heart disease, which is not likely in children. Continuous murmurs occur throughout the complete heartbeat.</t>
  </si>
  <si>
    <t>A neonate is admitted to the hospital for failure to thrive. During the admission assessment, a murmur is auscultated. Which of the following findings would lead the nurse to suspect patent ductus arteriosus (PDA) over ventricular septal defect (VSD)?</t>
  </si>
  <si>
    <t>Widened pulse pressure, obscured S2, machine-like murmur</t>
  </si>
  <si>
    <t>Narrowed pulse pressure, obscured S2, loud and harsh systolic murmur</t>
  </si>
  <si>
    <t>Narrowed pulse pressure, split S2, machine-like murmur</t>
  </si>
  <si>
    <t>Widened pulse pressure, split S2, loud and harsh systolic murmur</t>
  </si>
  <si>
    <t>Signs and symptoms of PDA include a machine-like murmur that obscures S2 (Gibson murmur), failure to thrive, and bounding peripheral pulses with widened pulse pressure. Signs and symptoms of VSD include a loud and harsh systolic murmur, palpable thrill, failure to thrive, loud and widely split S2, diaphoresis, tachycardia, and rapid, grunting respirations.</t>
  </si>
  <si>
    <t>When performing a four-limb blood pressure reading on a newly admitted patient, the nurse notes that upper-extremity readings are higher than lower-extremity readings, and radial pulses are bounding in comparison to nearly absent pedal pulses. The MOST likely cause is:</t>
  </si>
  <si>
    <t>Hypoplastic left heart syndrome</t>
  </si>
  <si>
    <t>Coarctation of the aorta</t>
  </si>
  <si>
    <t>The nurse should suspect coarctation of the aorta. Symptoms include a blood pressure difference of at least 20 mmHg in any limb and, commonly, upper-extremity blood pressures that are greater than lower-extremity blood pressures. In addition, upper-extremity pulses are often bounding, while lower-extremity pulses are diminished or absent.</t>
  </si>
  <si>
    <t>The nurse is providing discharge education to the parents of a child with heart failure. The nurse is focusing on signs that require immediate medical attention, including:</t>
  </si>
  <si>
    <t>Decrease in wet diapers, poor feeding, and increased sweating</t>
  </si>
  <si>
    <t>High-pitched cry, increased feeding, and loose stools</t>
  </si>
  <si>
    <t>Six to ten wet diapers a day and feeding every 2 to 3 hours</t>
  </si>
  <si>
    <t>Small spit-ups after feeding, green stools, and frequent napping</t>
  </si>
  <si>
    <t>Symptoms associated with heart failure exacerbation in children include decreased urine output, poor feeding, and increased sweating, especially during feeds. The parents should be educated to bring their child to the hospital for further evaluation should they notice any of these symptoms. Six to ten wet diapers a day, feeding every 2 to 3 hours, crying, small spit-ups, and frequent napping are all normal findings for an infant.</t>
  </si>
  <si>
    <t>The nurse is caring for a 7-month-old infant with heart failure who is on digoxin. Prior to administering this medication, the nurse will assess for:</t>
  </si>
  <si>
    <t>Blood pressure &lt;80/50 mmHg</t>
  </si>
  <si>
    <t>Respiratory rate 35 breaths/min</t>
  </si>
  <si>
    <t>Heart rate &gt;110 beats/min</t>
  </si>
  <si>
    <t>Temperature &gt;98°F</t>
  </si>
  <si>
    <t>Digoxin is a medication commonly used to treat children with heart failure. It can decrease the heart rate and improve the force of contractions to increase cardiac output. It is important to ensure that the infant’s heart rate is greater than 110 beats/min before administration to reduce risk of bradycardia. Digoxin is not dependent on respiratory rate or temperature. The child does not need to have a low blood pressure before the medication is administered.</t>
  </si>
  <si>
    <t>A child has just returned to the unit post cardiac catheterization. Every hour, the nurse should:</t>
  </si>
  <si>
    <t>Take four-extremity blood pressures</t>
  </si>
  <si>
    <t>Ask the child to raise and lower the affected leg</t>
  </si>
  <si>
    <t>Get the child out of bed to walk around the unit</t>
  </si>
  <si>
    <t>Palpate pedal pulses bilaterally for symmetry</t>
  </si>
  <si>
    <t>Every hour, the nurse should palpate the pedal pulses bilaterally for symmetry. In addition, the nurse should assess the puncture site for any signs of bleeding or bruising, keep the affected limb straight, and ensure that the child rests in bed for 4 to 6 hours after the procedure to promote healing. The child should not raise and lower the affected leg; the leg needs to be kept flat on the bed. The child should not get out of bed and walk around because this increases the risk for postoperative bleeding. Taking four-extremity blood pressures is not indicated post cardiac catheterization.</t>
  </si>
  <si>
    <t>The nurse is examining an adolescent patient with complaints of frequent headaches, dizziness, and changes in vision. Which assessment is MOST relevant to the suspected diagnosis?</t>
  </si>
  <si>
    <t>Pulse</t>
  </si>
  <si>
    <t>Temperature</t>
  </si>
  <si>
    <t>Blood pressure</t>
  </si>
  <si>
    <t>The patient is most likely experiencing hypertension, so blood pressure is the most relevant assessment. In adolescents and older children, hypertension often manifests with frequent headaches, dizziness, and changes in vision.</t>
  </si>
  <si>
    <t>The nurse is auscultating an infant post Norwood procedure and finds no audible murmur on the left side. The nurse’s BEST action is to:</t>
  </si>
  <si>
    <t>Document that the shunt is working, feed the infant, and contact the surgeon</t>
  </si>
  <si>
    <t>Document that the shunt is not working, call a rapid response team, and contact the surgeon</t>
  </si>
  <si>
    <t>Document that the shunt is not working, feed the infant, and call a rapid response team</t>
  </si>
  <si>
    <t>Document that the shunt is working, call a rapid response team, and contact the surgeon</t>
  </si>
  <si>
    <t>During a Norwood repair, a round tube or shunt routes blood either from the aorta or directly from the right ventricle to the pulmonary artery. No murmur indicates that the Norwood repair is not functioning, which is an emergency situation. The nurse should document that the shunt is not working, call a rapid response team, and contact the surgeon. The infant requires immediate surgery, so feeding is contraindicated.</t>
  </si>
  <si>
    <t>Which of the following is the MOST appropriate feeding method for a child with Down syndrome and a congenital heart defect?</t>
  </si>
  <si>
    <t>Sitting up at a 45-degree angle</t>
  </si>
  <si>
    <t>Cradled at a 45-degree angle</t>
  </si>
  <si>
    <t>Cradled flat</t>
  </si>
  <si>
    <t>Sitting up at a 90-degree angle</t>
  </si>
  <si>
    <t>Children with Down syndrome have floppy tone that does not allow them to hold their trunk, neck, and head up. This predisposes them to aspiration. Holding the child at a 90-degree angle reduces risk of aspiration and provides support so they do not waste energy required to feed.</t>
  </si>
  <si>
    <t>Which of the following is an example of an expressive language red flag?</t>
  </si>
  <si>
    <t>3-month-old who only babbles</t>
  </si>
  <si>
    <t>6-month-old who does not babble</t>
  </si>
  <si>
    <t>12-month-old who is not using approximately 20 words</t>
  </si>
  <si>
    <t>6-month-old who does not startle at loud noises</t>
  </si>
  <si>
    <t>A 6-month-old child should be able to form polysyllabic vowel sounds and babble. A 6-month-old child who does not startle at loud sounds is concerning, but that describes receptive, not expressive, language. A 3-month-old child will cry and coo. A 12-month-old child is expected to say two words other than "mama" and "dada."</t>
  </si>
  <si>
    <t>The nurse would be most concerned about the language development of a child who:</t>
  </si>
  <si>
    <t>Stutters when excited or tired at age 42 months</t>
  </si>
  <si>
    <t>Has a vocabulary of 10 words at age 12 months</t>
  </si>
  <si>
    <t>Repeats simple phrases at age 32 months</t>
  </si>
  <si>
    <t>Pronounces words that are not understandable at age 36 months</t>
  </si>
  <si>
    <t>By age 3 years (36 months), children should have an approximately 900-word vocabulary and speak in four-word sentences. Stuttering when excited or tired at age 42 months, having a vocabulary of 10 words at age 12 months, and repeating simple phrases at age 32 months are examples of normal development.</t>
  </si>
  <si>
    <t>Which of the following is an example of a gross motor development red flag?</t>
  </si>
  <si>
    <t>3-month-old who cannot sit without support</t>
  </si>
  <si>
    <t>6-month-old with head lag when pulled to sit</t>
  </si>
  <si>
    <t>8-month-old who is not yet pulling up to stand</t>
  </si>
  <si>
    <t>10-month-old who is only cruising and not walking independently</t>
  </si>
  <si>
    <t>A 6-month-old child with head lag when pulled to sit is an example of a gross motor development red flag. Head lag should disappear by age 4 months, and head control should be achieved by age 6 months. An 8-month-old child who is not yet pulling up to stand and a 10-month-old child who is only cruising and not walking independently are examples of normal development.</t>
  </si>
  <si>
    <t>The nurse is educating the parents of a child with physical disabilities who uses a wheelchair. The nurse will advise the parents to:</t>
  </si>
  <si>
    <t>Provide the child with activities they can complete alone in their room</t>
  </si>
  <si>
    <t>Enroll the child in private art therapy sessions</t>
  </si>
  <si>
    <t>Bring the child to art therapy sessions with other children</t>
  </si>
  <si>
    <t>Tell the child that they are unable to participate group sessions because of their disabilities</t>
  </si>
  <si>
    <t>Normalization is an important tool in special needs development. It refers to processes or attempts to make the living environment and education as close to normal as possible. This includes allowing children to join activities and classrooms with children who do not have disabilities. This gives children with disabilities the opportunity to gain confidence doing the same tasks, with opportunities to observe and mimic. It is important to not segregate the child or to make them feel ostracized for their disabilities. The nurse should not promote isolation, so it would be inappropriate to give the child activities to complete alone, enroll them in private sessions, or tell them they cannot participate because of their disabilities.</t>
  </si>
  <si>
    <t>Which of the following is the BEST example of promoting self-confidence and social acceptance in a child with a disability?</t>
  </si>
  <si>
    <t>Allow the child to dress in clothing similar to that of their peers</t>
  </si>
  <si>
    <t>Encourage the child to recite words of affirmation</t>
  </si>
  <si>
    <t>Enroll the child in special needs classes</t>
  </si>
  <si>
    <t>Dress and groom the child each day</t>
  </si>
  <si>
    <t>When a child has a disability, it is of utmost importance to promote self-confidence and social acceptance. Social acceptance from preschool age to adolescence is heavily based on appearance, so the best action is to allow the child to dress in clothes that that are similar to those of their peers. Reciting words of affirmation may help the child’s emotional state, but it will not promote social acceptance. Whenever possible, children with disabilities should be enrolled in classes with children without disabilities to normalize their education environment. While parents should be encouraged to assist the child with activities of daily living as needed, they should not take over the action of dressing and grooming completely.</t>
  </si>
  <si>
    <t>A 5-month-old patient is admitted with gross motor delay and failure to thrive. The nurse observes poor sucking, persistent tongue thrust, and stiffness with diapering. The nurse anticipates that which of the following will be included in the discharge instructions?</t>
  </si>
  <si>
    <t>The child should be encouraged to perform age- and condition-appropriate motor activities.</t>
  </si>
  <si>
    <t>The parents should be prepared to perform all activities of daily living for the child.</t>
  </si>
  <si>
    <t>The child will not be able to perform age- and condition-appropriate motor activities.</t>
  </si>
  <si>
    <t>The child will require a full-time caregiver for the entirety of their life.</t>
  </si>
  <si>
    <t>The most common clinical manifestation of all types of cerebral palsy is delayed gross motor development. Additional manifestations include early dominant hand preference, abnormal or asymmetrical crawl, poor sucking, feeding problems, and persistent tongue thrust. The child may also feel stiff when handled. Parents should encourage the child to perform age- and condition-appropriate motor activities and urge the child to participate in activities of daily living. Many adults with cerebral palsy are able to care for themselves without the assistance of a caregiver.</t>
  </si>
  <si>
    <t>Which of the following is the MOST appropriate sport for a 17-year-old patient with Marfan syndrome?</t>
  </si>
  <si>
    <t>Tennis</t>
  </si>
  <si>
    <t>Swimming</t>
  </si>
  <si>
    <t>Football</t>
  </si>
  <si>
    <t>Badminton</t>
  </si>
  <si>
    <t>Adolescent patients diagnosed with Marfan syndrome are at risk for aortic aneurysm, so contact sports should be avoided. Swimming is a safe, non-contact sport. Tennis and badminton may not be feasible for individuals with Marfan syndrome due to lens complications. Football is a high-level contact sport that could be potentially lethal for an adolescent patient with Marfan syndrome.</t>
  </si>
  <si>
    <t>Upon auscultation of a patient's lungs, the nurse hears loud, high-pitched sounds over the larynx. How will the nurse document these findings?</t>
  </si>
  <si>
    <t>Normal</t>
  </si>
  <si>
    <t>Vesicular</t>
  </si>
  <si>
    <t>Bronchial</t>
  </si>
  <si>
    <t>Bronchial breath sounds are loud, high-pitched sounds heard primarily over the trachea and larynx. A normal breath sound is similar to the sound of air. Rhonchi is a low-pitched breath sound. Vesicular breath sounds are low-pitched, soft sounds heard over the peripheral lung fields.</t>
  </si>
  <si>
    <t>Which of the following foods increases the risk of foreign body aspiration?</t>
  </si>
  <si>
    <t>Celery</t>
  </si>
  <si>
    <t>Blueberries</t>
  </si>
  <si>
    <t>Apples</t>
  </si>
  <si>
    <t>Foreign body aspiration occurs when an object is inhaled and becomes lodged in a child's airway or lungs. Peanuts swell when wet, which can increase obstruction and risk of aspiration. Other common aspirates include hot dogs, hard candy, grapes, cookies, carrots, peanut butter, latex balloons, coins, bullets, nails, and small toys.</t>
  </si>
  <si>
    <t>Which of the following sports are LEAST likely to cause an exacerbation of exercise-induced asthma?</t>
  </si>
  <si>
    <t>Soccer, baseball, and gymnastics</t>
  </si>
  <si>
    <t>Baseball, gymnastics, and swimming</t>
  </si>
  <si>
    <t>Gymnastics, swimming, and lacrosse</t>
  </si>
  <si>
    <t>Lacrosse, soccer, and baseball</t>
  </si>
  <si>
    <t>Exercise-induced asthma is rare in activities that require short bursts of energy, such as baseball, sprints, gymnastics, and swimming. Exacerbations more commonly occur in sports that involve endurance exercise, such as soccer, lacrosse, and distance running. Swimming is well tolerated by children with exercise-induced asthma due to the moisture saturation in the air and the focused breathing techniques.</t>
  </si>
  <si>
    <t>Which of the following predisposes an infant to sudden infant death syndrome (SIDS)?</t>
  </si>
  <si>
    <t>Prematurity</t>
  </si>
  <si>
    <t>Female sex</t>
  </si>
  <si>
    <t>High birth weight</t>
  </si>
  <si>
    <t>Geriatric pregnancy</t>
  </si>
  <si>
    <t>Risk factors for SIDS include prematurity, low birth weight, and mothers who are younger than 20 years when pregnant. SIDS is also more common in male infants. Other risk factors include brain defects, respiratory infections, family history, race (more common in non-white individuals), exposure to tobacco smoke, and sleep environment factors.</t>
  </si>
  <si>
    <r>
      <rPr>
        <sz val="11"/>
        <color rgb="FF000000"/>
        <rFont val="Calibri"/>
        <family val="2"/>
        <scheme val="minor"/>
      </rPr>
      <t xml:space="preserve">The </t>
    </r>
    <r>
      <rPr>
        <i/>
        <sz val="11"/>
        <color rgb="FF000000"/>
        <rFont val="Calibri"/>
        <family val="2"/>
        <scheme val="minor"/>
      </rPr>
      <t>Haemophilus influenzae</t>
    </r>
    <r>
      <rPr>
        <sz val="11"/>
        <color rgb="FF000000"/>
        <rFont val="Calibri"/>
        <family val="2"/>
        <scheme val="minor"/>
      </rPr>
      <t xml:space="preserve"> type B vaccine decreases the incidence of which respiratory disease?</t>
    </r>
  </si>
  <si>
    <t>Laryngotracheobronchitis</t>
  </si>
  <si>
    <t>Epiglottitis</t>
  </si>
  <si>
    <t>Bronchiolitis</t>
  </si>
  <si>
    <r>
      <rPr>
        <sz val="11"/>
        <color rgb="FF000000"/>
        <rFont val="Calibri"/>
        <family val="2"/>
        <scheme val="minor"/>
      </rPr>
      <t xml:space="preserve">Epiglottitis is a bacterial infection of the epiglottis primarily caused by </t>
    </r>
    <r>
      <rPr>
        <i/>
        <sz val="11"/>
        <color rgb="FF000000"/>
        <rFont val="Calibri"/>
        <family val="2"/>
        <scheme val="minor"/>
      </rPr>
      <t>Haemophilus influenzae</t>
    </r>
    <r>
      <rPr>
        <sz val="11"/>
        <color rgb="FF000000"/>
        <rFont val="Calibri"/>
        <family val="2"/>
        <scheme val="minor"/>
      </rPr>
      <t xml:space="preserve"> type B (Hib). The vaccine decreases the incidence of this condition. Acute laryngotracheobronchitis is most often caused by a parainfluenza virus. Pneumonia is most commonly caused by pneumococci, streptococci, and staphylococci infections. Bronchiolitis is typically caused by respiratory syncytial virus.</t>
    </r>
  </si>
  <si>
    <t>Which of the following anatomic features predisposes infants to airway occlusion?</t>
  </si>
  <si>
    <t>Smaller nares, narrow nasal passages, and obligate nasal breathing</t>
  </si>
  <si>
    <t>Smaller nares, narrow nasal passages, and obligate mouth breathing</t>
  </si>
  <si>
    <t>Smaller nares, shorter distance between nasal passages, and obligate nasal breathing</t>
  </si>
  <si>
    <t>Smaller nares, shorter distance between nasal passages, and obligate mouth breathing</t>
  </si>
  <si>
    <t>Infants and young children have smaller nares and narrow nasal passages, making them more prone to airway occlusion. Because neonates breathe through their noses (obligate nasal breathing), nasal patency is essential for breathing and feeding.</t>
  </si>
  <si>
    <t>The nurse is caring for an adolescent patient with acute respiratory distress syndrome. Which of the following are MOST likely to be included in the treatment plan?</t>
  </si>
  <si>
    <t>Ventilator support, sedation, fluid management</t>
  </si>
  <si>
    <t>Semi-Fowler position, range-of-motion exercises, extracorporeal membrane oxygenation</t>
  </si>
  <si>
    <t>Fluid management, range-of-motion exercises, ventilator support</t>
  </si>
  <si>
    <t>Sedation, pain management, extracorporeal membrane oxygenation</t>
  </si>
  <si>
    <t>Ventilator support, sedation, and fluid management are likely to be included in the patient's treatment plan. Treatment may also include prone positioning (not semi-Fowler) and extracorporeal membrane oxygenation. Range-of-motion exercises would not be included in the treatment plan for a patient with acute respiratory distress syndrome.</t>
  </si>
  <si>
    <t>When teaching new parents how to avoid frequent otitis media (OM) infections, the nurse includes which of the following guidance?</t>
  </si>
  <si>
    <t>Feed in the prone position</t>
  </si>
  <si>
    <t>Use cotton swabs to clean the ears</t>
  </si>
  <si>
    <t>Feed in the supine position</t>
  </si>
  <si>
    <t>Avoid contact with people with upper respiratory infections</t>
  </si>
  <si>
    <t>OM is commonly preceded by upper respiratory infections; therefore, avoiding contact with persons with upper respiratory infections will decrease the occurrence of OM. Cotton swabs can cause injuries and can pack cerumen into the ear canal, so they should not be used to clean the infant's ears. A bottle-fed infant should be fed upright, not supine (lying on their back) or prone (lying on their stomach).</t>
  </si>
  <si>
    <t>The nurse suspects that a patient has epiglottitis. The nurse's BEST action is to:</t>
  </si>
  <si>
    <t>Administer epinephrine</t>
  </si>
  <si>
    <t>Provide oral fluids to thin secretions</t>
  </si>
  <si>
    <t>Refrain from visual inspection of the airway</t>
  </si>
  <si>
    <t>Administer a bronchodilator via nebulizer</t>
  </si>
  <si>
    <t>Epiglottitis, a potentially life-threatening illness, occurs when there is inflammation and swelling of the epiglottis. If the patient is in an outpatient setting, the nurse should call 911. Visual inspection of the mouth and throat for airway obstruction is contraindicated in suspected epiglottitis due to the potential for laryngospasm and airway obstruction. A bronchodilator will not help to decrease swelling of the epiglottis, nor will epinephrine. It is important to keep the patient's airway clear, so oral fluids should not be provided.</t>
  </si>
  <si>
    <t>Which of the following medications should be avoided in a 3-year-old patient with allergic rhinitis?</t>
  </si>
  <si>
    <t>Pseudoephedrine</t>
  </si>
  <si>
    <t>Fluticasone</t>
  </si>
  <si>
    <t>Triamcinolone</t>
  </si>
  <si>
    <t>Cetirizine</t>
  </si>
  <si>
    <t>Pseudoephedrine and other decongestants should not be used in infants and children younger than 4 years due to the risk of adverse effects such as seizures and even death. Fluticasone, triamcinolone, and cetirizine are appropriate medications for the treatment of allergic rhinitis in a patient of this age.</t>
  </si>
  <si>
    <t>The nurse is educating the parents of an infant prescribed methylprednisolone (Medrol Dosepak). Which of the following is the nurse's BEST guidance regarding this prescription?</t>
  </si>
  <si>
    <t>Use the peak flow meter only as needed during the day.</t>
  </si>
  <si>
    <t>There is no need to wean the infant off the steroid.</t>
  </si>
  <si>
    <t>Cut the dose in half for the last 2 days to wean the infant off the steroid.</t>
  </si>
  <si>
    <t>Cut the dose in half the last day to wean the infant off the steroid.</t>
  </si>
  <si>
    <t>Methylprednisolone (Medrol Dosepak) can be used to treat inflammation, severe allergies, and flares of chronic diseases such as asthma. It is given for 4 days and does not require weaning since the patient is not steroid dependent. The peak flow needs to be measured routinely, although it may not always be possible with an infant.</t>
  </si>
  <si>
    <t>During discharge teaching for a child with asthma, the nurse advises the parents to avoid which of the following medication triggers?</t>
  </si>
  <si>
    <t>NSAIDs</t>
  </si>
  <si>
    <t>Approximately 2% to 6% of children with asthma are sensitive to aspirin; therefore, nurses should caution parents to use other analgesic and antipyretic drugs for discomfort or fever. Although aspirin is rarely given to children in the United States, salicylate compounds are in other common medicines such as Pepto-Bismol, so parents should always read labels. Children with asthma may also be sensitive to nonsteroidal anti-inflammatory drugs (NSAIDs) and tartrazine (yellow dye number 5), a common food coloring. Cefdinir and amoxicillin are safe for use in children with asthma.</t>
  </si>
  <si>
    <t>The nurse is caring for a patient following an asthma exacerbation. The patient has been placed on maintenance therapy and has a peak flow of 60%. The nurse's BEST action is to:</t>
  </si>
  <si>
    <t>Prepare for intubation</t>
  </si>
  <si>
    <t>Notify physician that a reduction in maintenance therapy may be required</t>
  </si>
  <si>
    <t>Notify physician that an increase in maintenance therapy may be required</t>
  </si>
  <si>
    <t>A patient in the "yellow zone" will have a peak flow of 50% to 80% and may be experiencing coughing, wheezing, and trouble breathing. An increase in maintenance therapy is required to move the patient into the "green zone" (peak flow 80% to 100%). If the child's peak flow drops to &lt;50% (the "red zone"), emergency care is required, which may include epinephrine and, in severe cases, intubation.</t>
  </si>
  <si>
    <t>A 6-year-old patient admitted to the hospital for an asthma exacerbation tells the nurse that they do not like the taste of the “purple disk” medicine. Which of the following is the nurse's BEST response?</t>
  </si>
  <si>
    <t>"You don’t have to take the 'purple disk' medicine if it doesn’t taste good."</t>
  </si>
  <si>
    <t>"You need to take the 'purple disk' medicine three times a day to prevent asthma attacks."</t>
  </si>
  <si>
    <t>"The 'purple disk' is your preventive medication, and you need to take it twice a day every day."</t>
  </si>
  <si>
    <t>"You are in the hospital because you did not take the 'purple disk' medicine."</t>
  </si>
  <si>
    <t>The "purple disk" asthma medication is a combination of fluticasone propionate and salmeterol. It is used twice a day, every day, to prevent an asthma exacerbation. Asthma-preventive medications should be continued in the hospital to maintain the required levels of medication and prevent another exacerbation. The nurse should explain to the patient what the medicine is and how frequently it should be taken. Regardless of how the medicine tastes, it needs to be taken as prescribed. Telling the patient that they are in the hospital because they did not take their medication is judgmental and will not serve to educate the patient.</t>
  </si>
  <si>
    <t>Which of the following presents the GREATEST risk to a 5-year-old patient recovering from a tonsillectomy?</t>
  </si>
  <si>
    <t>Bleeding</t>
  </si>
  <si>
    <t>Inadequate nutrition</t>
  </si>
  <si>
    <t>Impaired airway clearance</t>
  </si>
  <si>
    <t>The greatest risk to a 5-year-old patient recovering from a tonsillectomy is impaired airway clearance. Airway management is most crucial in patients post tonsillectomy. The child should be positioned on their side in semi-Fowler position to promote drainage of oral secretions and minimize inflammation. The priority assessment is respiratory rate and breathing patterns, and any alterations should be reported immediately. Bleeding should also be monitored and assessed on a regular basis postoperatively and then for 1 week. The patient may have some pain with the procedure that can be assessed and managed with medication. The patient should start with clear fluids once awake and alert. The child’s diet should be advanced slowly to a soft diet during the week after surgery.</t>
  </si>
  <si>
    <t>A child aspirated popcorn and subsequently developed lipid pneumonia of the right lung. Which of the following is the MOST accurate description of the contributing factors?</t>
  </si>
  <si>
    <t>The popcorn is coated in oil; the right bronchus is shorter and straighter.</t>
  </si>
  <si>
    <t>The popcorn swells when wet; the right bronchus is shorter and straighter.</t>
  </si>
  <si>
    <t>The popcorn is coated in oil; the left bronchus is shorter and straighter.</t>
  </si>
  <si>
    <t>The popcorn swells when wet; the left bronchus is shorter and straighter.</t>
  </si>
  <si>
    <t>Popcorn is coated with oil, which increases the risk of developing lipid pneumonia. The right bronchus is typically the site of obstruction because it is shorter and straighter than the left bronchus.</t>
  </si>
  <si>
    <t>An infant in the neonatal unit is wheezing with flaring of the nostrils. The parent reports a history of cough and runny nose for 2 days. The infant’s oxygen saturation is 88% on room air. Which of the following is the PRIORITY treatment?</t>
  </si>
  <si>
    <t>Intubation</t>
  </si>
  <si>
    <t>Humidified oxygen</t>
  </si>
  <si>
    <t>Continued observation</t>
  </si>
  <si>
    <t>The infant is experiencing symptoms associated with acute bronchiolitis. Supportive management is most appropriate in this case. The nurse should administer humidified oxygen to assist with breathing. Corticosteroids are not generally used if the infant has no history or diagnosis of reactive airway disease (asthma). Intubation would be implemented if the infant was unresponsive to other treatments or was cyanotic. Continued observation is required, but is not the priority action.</t>
  </si>
  <si>
    <t>Children with celiac disease should avoid which of the following foods?</t>
  </si>
  <si>
    <t>Corn, rice, farina, and rye</t>
  </si>
  <si>
    <t>Bulgur, farina, rye, and spelt</t>
  </si>
  <si>
    <t>Spelt, rice, farina, and corn</t>
  </si>
  <si>
    <t>Bulgur, corn, rice, and rye</t>
  </si>
  <si>
    <t>Children with celiac disease should avoid foods that contain gluten, including wheat, barley, bulgur, durum, farina, graham flour, malt, rye, semolina, spelt (a form of wheat), and triticale. A high-protein, low-fat, high-calorie diet that includes corn and rice products, soy and potato flour, and fresh fruits is appropriate for celiac patients.</t>
  </si>
  <si>
    <t>In addition to oral rehydration solution, which of the following fluids would the nurse offer when providing oral rehydration?</t>
  </si>
  <si>
    <t>Lemon-lime soda, lactose-free formula, gelatin</t>
  </si>
  <si>
    <t>Lemon-lime soda, chicken broth, apple juice</t>
  </si>
  <si>
    <t>Lactose-free formula, expressed breast milk</t>
  </si>
  <si>
    <t>Expressed breast milk, lactose-free formula, gelatin, chicken broth</t>
  </si>
  <si>
    <t xml:space="preserve">The American Academy of Pediatrics, World Health Organization, and Centers for Disease Control and Prevention recommend oral rehydration solutions (ORSs) for oral rehydration therapy. ORSs enhance and promote the resorption of sodium and water, which can reduce vomiting, volume loss from diarrhea, and duration of illness. ORSs are available in the United States as commercially prepared solutions. Breast milk, lactose-free formula, and half-strength lactose-containing formula can be alternated with ORS. Fruit juices, carbonated soft drinks, and gelatin should not be offered for oral rehydration because they have very low electrolyte content and high osmolality. Caffeinated soda should be avoided because caffeine is a mild diuretic and may lead to increased loss of water and sodium. Chicken or beef broth is not given because it contains excessive sodium and inadequate carbohydrates. </t>
  </si>
  <si>
    <t>The nurse is caring for an infant with gastroesophageal reflux disease (GERD). Which of the following should be monitored to evaluate the effectiveness of thickened feedings?</t>
  </si>
  <si>
    <t>Frequency of bowel movements</t>
  </si>
  <si>
    <t>Weight</t>
  </si>
  <si>
    <t>Frequency of vomiting</t>
  </si>
  <si>
    <t>Urine output</t>
  </si>
  <si>
    <t>Thickened feedings should reduce vomiting in an infant with GERD. To evaluate the effectiveness of thickened feedings, the nurse should monitor the frequency of vomiting. Frequency of bowel movements, weight, and urine output would not be impacted by thickened feedings.</t>
  </si>
  <si>
    <t>The nurse is caring for a 5-year-old patient post tonsillectomy. Which of the following will the nurse encourage the patient to consume?</t>
  </si>
  <si>
    <t>Milk</t>
  </si>
  <si>
    <t>Water</t>
  </si>
  <si>
    <t>Red popsicle</t>
  </si>
  <si>
    <t>Orange juice</t>
  </si>
  <si>
    <t>When awake and alert, the patient should begin to consume clear fluids, including water and popsicles. Due to the need to monitor for bleeding, red-colored liquids should be avoided. Citrus juices can be painful when swallowed, so they should also be avoided. Dairy products may increase mucus production, which could cause coughing or an upset stomach. This could increase the risk of bleeding; therefore, they should not be consumed until day 2 or 3.</t>
  </si>
  <si>
    <t xml:space="preserve">A 9-month-old patient does not yet have any teeth. When should the child have their first dental visit? </t>
  </si>
  <si>
    <t>6 months after the first tooth erupts</t>
  </si>
  <si>
    <t>Within the next 3 months</t>
  </si>
  <si>
    <t>By age 18 months</t>
  </si>
  <si>
    <t>By age 2 years</t>
  </si>
  <si>
    <t xml:space="preserve">The American Academy of Pediatric Dentistry recommends that a child should have their first dental visit by the age of 12 months or within 6 months of the eruption of the first tooth, whichever comes first. Since the infant is already 9 months old and does not yet have any teeth, the first dental visit should be scheduled within the next 3 months to ensure proper oral health and development. Waiting 6 months after eruption of the first tooth would delay the first visit until the child is more than 15 months old. </t>
  </si>
  <si>
    <t>At what age is a child able to fixate on one visual field with both eyes simultaneously?</t>
  </si>
  <si>
    <t>Newborn</t>
  </si>
  <si>
    <t>Generally, children age 3 to 4 months have the ability to fixate on one visual field with both eyes simultaneously (binocularity).</t>
  </si>
  <si>
    <t>Which of the following is a normal finding for the tympanic membrane?</t>
  </si>
  <si>
    <t>Light pink with erythema</t>
  </si>
  <si>
    <t>Translucent, light pearly pink</t>
  </si>
  <si>
    <t>Ashen gray with a black area</t>
  </si>
  <si>
    <t>Dull, nontransparent gray</t>
  </si>
  <si>
    <t>The tympanic membrane is normally translucent and light pearly pink or gray. Erythema may indicate otitis media. A dull, nontransparent gray color indicates scarring. A black area suggests a perforation of the membrane that has not healed.</t>
  </si>
  <si>
    <t>A parent brings their child into the clinic with complaints of a “lazy eye.” The nurse correctly identifies this condition as:</t>
  </si>
  <si>
    <t>Amblyopia</t>
  </si>
  <si>
    <t>Amblyopia is also known as “lazy eye.” Myopia is nearsightedness, astigmatism is curvature of the lens inside the eye, and hyperopia is farsightedness.</t>
  </si>
  <si>
    <t>Which of the following may predispose an infant to hearing loss?</t>
  </si>
  <si>
    <t>Hypobilirubinemia</t>
  </si>
  <si>
    <t>Low Apgar scores</t>
  </si>
  <si>
    <t>Rubeola</t>
  </si>
  <si>
    <t>The HEARS mnemonic can be used to remember risk factors for hearing loss in an infant: Hyperbilirubinemia (not hypobilirubinemia), frequent Ear infections, low Apgar scores, Rubella/cytomegalovirus (not rubeola), and Seizures. Sickle cell disease is not a risk factor for hearing loss.</t>
  </si>
  <si>
    <t>The nurse is performing an eye assessment of a newborn. Which of the following is the MOST appropriate technique?</t>
  </si>
  <si>
    <t>Cover one of the newborn's eyes and assess their response to a puppet being placed in their field of vision</t>
  </si>
  <si>
    <t>Assess the newborn's response to a finger moving in all six visual fields</t>
  </si>
  <si>
    <t>Move a puppet away from and close into the child’s field of vision</t>
  </si>
  <si>
    <t>Red reflex testing requires no patient participation and can be performed shortly after birth. It is the most important screening test for infants and young children. Fixation and tracking (moving a puppet away from and close to a child’s field of vision) is reliable from 6 to 8 weeks of life up to age 2 years. A newborn cannot follow the nurse’s finger in all six visual fields.</t>
  </si>
  <si>
    <t>The nurse is caring for a 5-month-old patient with acute otitis media. The nurse should advise the parents to:</t>
  </si>
  <si>
    <t>Prop the infant's bottle when feeding</t>
  </si>
  <si>
    <t>Keep the infant away from sick individuals</t>
  </si>
  <si>
    <t>Stop the antibiotic when the infant shows sign of improvement</t>
  </si>
  <si>
    <t>Give the infant aspirin if the infant appears to be in pain</t>
  </si>
  <si>
    <t>It is important to reduce exposure to factors that place the infant at risk of otitis media. The nurse should instruct the parents to keep the child away from sick individuals. Propping the bottle or putting the infant to bed with a bottle is not recommended. It is important to finish the full course of antibiotics, even if the child shows signs of improvement. A 5-month-old should never be given aspirin due to the risk of Reye syndrome. If pain relief is required, the child can be given acetaminophen.</t>
  </si>
  <si>
    <t>Postoperative care for an infant who underwent palatoplasty would include:</t>
  </si>
  <si>
    <t>Using a syringe or a cup</t>
  </si>
  <si>
    <t>Using a soft toothbrush</t>
  </si>
  <si>
    <t>Offering popsicles</t>
  </si>
  <si>
    <t>Using a straw</t>
  </si>
  <si>
    <t>Postoperative care for an infant who underwent palatoplasty for cleft palate repair would include the use of a cup or a syringe for feeding to prevent injury to the suture line. Hard or pointed objects (e.g., oral thermometers, utensils, straws, frozen popsicles) should be kept away from the infant’s mouth to prevent trauma. The child’s teeth should not be brushed for 1 to 2 weeks after surgery.</t>
  </si>
  <si>
    <t>A 12-month-old patient presents with persistent overflow of tears, crusting on the lashes, and acute distension of the lacrimal sac. Which of the following is MOST likely to be included in this patient's treatment plan?</t>
  </si>
  <si>
    <t>Daily administration of eye drops</t>
  </si>
  <si>
    <t>Surgery</t>
  </si>
  <si>
    <t>Fitting for eyeglasses</t>
  </si>
  <si>
    <t>Dacryostenosis, or blocked tear ducts, is a condition present at birth that resolves around age 6 to 9 months. In some cases, the blocked tear ducts do not resolve, and surgery is indicated to facilitate drainage. Daily eye drops are not indicated for this condition. This condition does not require intravenous antibiotics. Eyeglasses are not required at this point because the child may fully recover with surgery.</t>
  </si>
  <si>
    <t>Which of the following herbal supplements is safe for use in an infant?</t>
  </si>
  <si>
    <t>Gingko biloba</t>
  </si>
  <si>
    <t>Valerian</t>
  </si>
  <si>
    <t>St. John’s wort</t>
  </si>
  <si>
    <t>Chamomile</t>
  </si>
  <si>
    <t>Chamomile is safe for use in an infant and may help to calm and relax the nervous system, soothe the stomach, and reduce diarrhea, colic, and indigestion. Valerian should be avoided because it can cause paradoxical anxiety, restlessness, heart palpitations, and withdrawal symptoms with long-term use. St. John’s wort should be avoided because it can cause dizziness, nausea, sleepiness, and confusion. Gingko biloba should be avoided because it can cause gastrointestinal irritation, headache, bleeding, and contact dermatitis.</t>
  </si>
  <si>
    <t>Which of the following is the MOST accurate statement regarding Legg-Calve-Perthes disease?</t>
  </si>
  <si>
    <t>It is more common in boys, White people, those of lower socioeconomic status, and those born to parents of older age.</t>
  </si>
  <si>
    <t>It is more common in girls, Black people, those of higher socioeconomic status, and those born to parents of older age.</t>
  </si>
  <si>
    <t>It is more common in boys, Asian people, those of higher socioeconomic status, and those born to parents of younger age.</t>
  </si>
  <si>
    <t>It is more common in girls, White people, those of lower socioeconomic status, and those born to parents of younger age.</t>
  </si>
  <si>
    <t>Legg-Calve-Perthes disease occurs when blood supply to the femoral head of the hip joint is temporarily interrupted and the bone begins to die. This weakened bone gradually breaks apart and can lose its round shape. The condition can manifest at any time between ages 2 and 12 years, although it is most common in children age 4 to 8 years. Boys are four times more likely to be affected than girls. The disorder is most prevalent in White children and in children of Chinese origin; it is rarely seen in Black children. Epidemiologic studies show an increased association with such factors as low birth weight, older parental age at conception, and lower socioeconomic status. HIV and short stature, as well as delayed bone maturation for age, are also risk factors.</t>
  </si>
  <si>
    <t>Slipped capital femoral epiphysis (SCFE) is more common in:</t>
  </si>
  <si>
    <t>Older adolescents, underweight children, and children with hyperthyroidism</t>
  </si>
  <si>
    <t>Older adolescents, children with diabetes, and children with hypothyroidism</t>
  </si>
  <si>
    <t>Younger adolescents, underweight children, and children with hyperthyroidism</t>
  </si>
  <si>
    <t>Younger adolescents, children with diabetes, and children with hypothyroidism</t>
  </si>
  <si>
    <t>SCFE is a hip condition that occurs in young adolescents who are still growing. It is more common in adolescents with endocrine disorders such as diabetes, hypothyroidism, and growth hormone deficiencies. This may be due to the abnormal cartilage growth and mineralization that occur with these disorders.</t>
  </si>
  <si>
    <t>Which of the following are physical findings of osteogenesis imperfecta?</t>
  </si>
  <si>
    <t>Oligohydramnios, narrow sutures</t>
  </si>
  <si>
    <t>Polyhydramnios, wide sutures</t>
  </si>
  <si>
    <t>Polyhydramnios, narrow sutures</t>
  </si>
  <si>
    <t>Oligohydramnios, wide sutures</t>
  </si>
  <si>
    <t>Osteogenesis imperfecta is a group of genetic disorders that primarily affect the bones. Children with this condition have bones that fracture easily, often from mild trauma or with no apparent cause. Key physical findings include limb shortening, in utero fractures, polyhydramnios, old fractures and skeletal deformities, wide sutures, and blue sclerae.</t>
  </si>
  <si>
    <t>Which of the following techniques should be used when introducing juice to an infant for the first time?</t>
  </si>
  <si>
    <t>Bottle at 4 months</t>
  </si>
  <si>
    <t>Bottle at 6 months</t>
  </si>
  <si>
    <t>Cup at 6 months</t>
  </si>
  <si>
    <t>Cup at 4 months</t>
  </si>
  <si>
    <t>Fruit juices are not recommended before age 6 months and should be limited because they lack the balanced nutrition found in formula and breast milk. Excess juice consumption may also lead to tooth decay. A cup should be used to reduce risk of tooth decay.</t>
  </si>
  <si>
    <t>Vitamin D</t>
  </si>
  <si>
    <t>Vitamin C</t>
  </si>
  <si>
    <t>Vitamin E</t>
  </si>
  <si>
    <t>Vitamin A</t>
  </si>
  <si>
    <t>The American Academy of Pediatrics recommends that infants who are breastfed exclusively receive 400 IU of vitamin D beginning shortly after birth to prevent rickets and vitamin D deficiency. Vitamins A, C, and E are not indicated at this time.</t>
  </si>
  <si>
    <t>Which of the following nonpharmacologic strategies is the MOST effective for the management of gastroesophageal reflux disease (GERD) in an infant?</t>
  </si>
  <si>
    <t>Snack before bedtime, avoid peppermint, sleep prone</t>
  </si>
  <si>
    <t>Eat peppermint, sleep supine, snack before bedtime</t>
  </si>
  <si>
    <t>Sleep supine, avoid snacks before bedtime and peppermint</t>
  </si>
  <si>
    <t>Avoid snacks before bedtime, eat peppermint, sleep supine</t>
  </si>
  <si>
    <t>Nonpharmacologic management of GERD includes avoidance of foods that exacerbate acid reflux (e.g., caffeine, citrus, tomatoes, alcohol, peppermint, spicy or fried foods), as well as feeding maneuvers in infants (thickened feedings) that can improve mild GERD symptoms. It is important to educate and reassure parents about positioning. Infants should sleep in the supine position.</t>
  </si>
  <si>
    <t>Which of the following medications is safe to administer to a child with an ulcer?</t>
  </si>
  <si>
    <t>Naproxen</t>
  </si>
  <si>
    <t>Aspirin, ibuprofen, and naproxen can cause stomach and intestinal bleeding, so they should be avoided in children with ulcers. Acetaminophen does not cause bleeding, so it is safe to administer to children with ulcers.</t>
  </si>
  <si>
    <t>Which of the following is the proper method for feeding an infant with a cleft lip?</t>
  </si>
  <si>
    <t>Burp normally, feed slowly, and feed in a 45-degree position</t>
  </si>
  <si>
    <t>Burp frequently, feed slowly, and feed in an upright position</t>
  </si>
  <si>
    <t>Burp frequently, feed normally, and feed in an upright position</t>
  </si>
  <si>
    <t>Burp normally, feed normally, and feed in a 45-degree position</t>
  </si>
  <si>
    <t>When feeding an infant with a cleft lip, the nurse will decrease the risk of aspiration by feeding the infant slowly and in an upright position. Burping frequently will reduce the amount of swallowed air and decrease risk of emesis (vomiting).</t>
  </si>
  <si>
    <t>Which of the following diets is MOST appropriate for a patient with Crohn’s disease?</t>
  </si>
  <si>
    <t>To reduce inflammation, the most appropriate diet for a child with Crohn disease is a high-protein, high-calorie, low-fiber diet supplemented with iron, zinc, folic acid, and vitamins.</t>
  </si>
  <si>
    <t>The nurse is caring for an infant admitted for intussusception. The plan of care will include:</t>
  </si>
  <si>
    <t>Prepare for surgery, monitor for fever, and monitor nasogastric tube (NGT) output</t>
  </si>
  <si>
    <t>Prepare for an enema, monitor for fever, and monitor NGT output</t>
  </si>
  <si>
    <t>Prepare for an enema, monitor for hypothermia, and monitor for dehydration</t>
  </si>
  <si>
    <t>Prepare for surgery, monitor for hypothermia, and monitor for dehydration</t>
  </si>
  <si>
    <t>When caring for a patient with intussusception, the nurse should prepare for enema insertion to confirm diagnosis and reduce invagination by hydrostatic pressure. The nurse should also monitor for increased temperature (may indicate sepsis), dehydration, and NGT output, as well as volume replacement. Hydrostatic reduction is a process in which a solution of barium or water-soluble contrast medium is introduced into the rectum to move the invaginated bowel back into its original position. Surgery is indicated when hydrostatic reduction fails.</t>
  </si>
  <si>
    <t>After feeding an infant with gastroesophageal reflux disease (GERD), the nurse should place the infant in which of the following positions?</t>
  </si>
  <si>
    <t>Prone; head of bed elevated 45 degrees</t>
  </si>
  <si>
    <t>Prone; head of bed flat</t>
  </si>
  <si>
    <t>Supine; head of bed elevated 45 degrees</t>
  </si>
  <si>
    <t>Supine; head of bed flat</t>
  </si>
  <si>
    <t>Elevating the head of the bed or placing the infant in an infant seat for 1 hour after feedings may decrease symptoms of GERD. While prone positioning may help to reduce episodes of GERD, it should be avoided because it increases the risk of sudden infant death syndrome (SIDS). All infants should sleep in the supine position.</t>
  </si>
  <si>
    <t>Which of the following medications would the nurse expect to administer in a patient with appendicitis?</t>
  </si>
  <si>
    <t>Bisacodyl</t>
  </si>
  <si>
    <t>Fleet’s enema</t>
  </si>
  <si>
    <t>Docusate</t>
  </si>
  <si>
    <t>Patients with appendicitis often vomit with the onset of pain. An antiemetic such as ondansetron can make them more comfortable. When severe abdominal pain is observed, the nurse should be aware of the danger of administering laxatives or enemas because they stimulate bowel motility and increase the risk for perforation.</t>
  </si>
  <si>
    <t>The nurse is caring for a 4-month-old patient who has lower-extremity edema, distended abdomen, slow capillary refill, and clubbing of the fingernails. Which of the following will be included in the patient's plan of care?</t>
  </si>
  <si>
    <t>Offer frequent breaks and limit the feed to 30 minutes</t>
  </si>
  <si>
    <t>Feed the infant as quickly as possible</t>
  </si>
  <si>
    <t>Offer large-volume feeds every 5 hours</t>
  </si>
  <si>
    <t>Avoid waking the infant to feed; feed only when the infant is already awake</t>
  </si>
  <si>
    <t>The infant has signs and symptoms of heart failure. An infant with heart failure has a decreased exercise tolerance and cardiac reserves. It is important to pace the child, offer frequent breaks, and limit the feed to 30 minutes. Infants with heart failure can easily burn calories and create a calorie deficit during feedings. Feeding the infant as quickly as possible is not proper feeding technique; the child may become too full too fast, resulting in emesis. Offering large-volume feeds every 5 hours would not meet the caloric needs of this infant. The infant should be awakened every 3 hours to feed. If the infant is fed only when they are already awake, they may not receive enough nutrition.</t>
  </si>
  <si>
    <t>The nurse is caring for a child from an underdeveloped region of the world who was admitted with abdominal pain, jaundice, and ascites. Which plan of care would the nurse expect to implement?</t>
  </si>
  <si>
    <t>Provide small meals and frequent snacks, and limit activity</t>
  </si>
  <si>
    <t>Provide large meals, avoid snacks, and promote activity</t>
  </si>
  <si>
    <t>Provide small meals and frequent snacks, and promote activity</t>
  </si>
  <si>
    <t>Hepatitis A is the most common type of hepatitis in children and is transmitted by person-to-person contact (fecal-oral route) or through the ingestion of contaminated food, milk, or water. A child is at an increased risk when traveling to or living in areas with contaminated food or water. Fulminant hepatitis causes unremitting liver failure. Signs and symptoms of fulminant hepatitis include vomiting, anorexia, jaundice, ascites, gastrointestinal bleeding, abdominal pain, lethargy, progressing disorientation, and coma. To support nutrition, the nurse should provide small, frequent meals and snacks. Activity should be limited to promote rest and decrease caloric needs.</t>
  </si>
  <si>
    <t>A newborn with Down syndrome presents with bile-stained vomiting, irritability, lethargy, and weight loss. Which of the following would the nurse expect to find in the patient's health history?</t>
  </si>
  <si>
    <t>Meconium passed in utero</t>
  </si>
  <si>
    <t>Meconium passed at 12 hours of age</t>
  </si>
  <si>
    <t>Meconium passed at 50 hours of age</t>
  </si>
  <si>
    <t>Meconium passed at 20 hours of age</t>
  </si>
  <si>
    <t>The patient presents with signs and symptoms of Hirschsprung disease, which is the result of a congenital, usually familial, defect. It may coexist with other congenital anomalies such as Down syndrome and anomalies of the urinary tract. In a neonate, history commonly reveals a failure to pass meconium and stool within the first 24 to 48 hours after birth.</t>
  </si>
  <si>
    <t>The nurse is caring for a child who was admitted with green, bilious vomiting; constipation; and abdominal pain. The nurse will:</t>
  </si>
  <si>
    <t>Prepare the child for surgery</t>
  </si>
  <si>
    <t>Administer ondansetron</t>
  </si>
  <si>
    <t>Provide clear liquids in a syringe</t>
  </si>
  <si>
    <t>Prepare the child for a barium enema</t>
  </si>
  <si>
    <t>Green, bilious vomiting; constipation; and abdominal pain are indicative of a bowel obstruction, which will require surgery. The child should not eat or drink anything in advance of surgery. Ondansetron is an antiemetic with limited adverse effects and is beneficial when the child is not able to tolerate anything orally or in the case of postoperative vomiting, chemotherapy-induced vomiting, cyclic vomiting syndrome, or acute motion sickness.</t>
  </si>
  <si>
    <t>The nurse is caring for a child who was admitted with fever, periumbilical pain, poor eating, vomiting, irritability, and hematemesis. The nurse prepares to administer:</t>
  </si>
  <si>
    <t>The patient’s symptoms are indicative of a peptic ulcer. The nurse should anticipate administering acetaminophen. Aspirin, ibuprofen, and naproxen can cause stomach and intestinal bleeding, so they should be avoided.</t>
  </si>
  <si>
    <t>Rheumatic fever is caused by which bacteria?</t>
  </si>
  <si>
    <t>Group A beta-hemolytic streptococcal pharyngitis</t>
  </si>
  <si>
    <t>Group B beta-hemolytic streptococcal pharyngitis</t>
  </si>
  <si>
    <t>Group A staphylococcal pharyngitis</t>
  </si>
  <si>
    <t>Group B staphylococcal pharyngitis</t>
  </si>
  <si>
    <t>Rheumatic fever is caused by group A beta-hemolytic streptococcal pharyngitis. It appears to result from a hypersensitive reaction to the infection. Only about 3% of individuals with group A beta-hemolytic streptococcal pharyngitis develop rheumatic fever.</t>
  </si>
  <si>
    <t>The bacterium that MOST commonly causes otitis media is:</t>
  </si>
  <si>
    <t>Staphylococcus aureus</t>
  </si>
  <si>
    <t>Streptococcus pyogenes</t>
  </si>
  <si>
    <t>Staphylococcus epidermidis</t>
  </si>
  <si>
    <r>
      <rPr>
        <i/>
        <sz val="11"/>
        <color rgb="FF000000"/>
        <rFont val="Calibri"/>
        <family val="2"/>
        <scheme val="minor"/>
      </rPr>
      <t xml:space="preserve">Streptococcus pneumoniae </t>
    </r>
    <r>
      <rPr>
        <sz val="11"/>
        <color rgb="FF000000"/>
        <rFont val="Calibri"/>
        <family val="2"/>
        <scheme val="minor"/>
      </rPr>
      <t xml:space="preserve">and </t>
    </r>
    <r>
      <rPr>
        <i/>
        <sz val="11"/>
        <color rgb="FF000000"/>
        <rFont val="Calibri"/>
        <family val="2"/>
        <scheme val="minor"/>
      </rPr>
      <t xml:space="preserve">Haemophilus influenzae </t>
    </r>
    <r>
      <rPr>
        <sz val="11"/>
        <color rgb="FF000000"/>
        <rFont val="Calibri"/>
        <family val="2"/>
        <scheme val="minor"/>
      </rPr>
      <t xml:space="preserve">are bacteria that most commonly cause otitis media. </t>
    </r>
    <r>
      <rPr>
        <i/>
        <sz val="11"/>
        <color rgb="FF000000"/>
        <rFont val="Calibri"/>
        <family val="2"/>
        <scheme val="minor"/>
      </rPr>
      <t xml:space="preserve">Streptococcus pyogenes </t>
    </r>
    <r>
      <rPr>
        <sz val="11"/>
        <color rgb="FF000000"/>
        <rFont val="Calibri"/>
        <family val="2"/>
        <scheme val="minor"/>
      </rPr>
      <t xml:space="preserve">(group A streptococcus) commonly causes tonsillitis. The pathogens that most commonly cause chronic dacryocystitis are </t>
    </r>
    <r>
      <rPr>
        <i/>
        <sz val="11"/>
        <color rgb="FF000000"/>
        <rFont val="Calibri"/>
        <family val="2"/>
        <scheme val="minor"/>
      </rPr>
      <t xml:space="preserve">Staphylococcus epidermidis </t>
    </r>
    <r>
      <rPr>
        <sz val="11"/>
        <color rgb="FF000000"/>
        <rFont val="Calibri"/>
        <family val="2"/>
        <scheme val="minor"/>
      </rPr>
      <t xml:space="preserve">and </t>
    </r>
    <r>
      <rPr>
        <i/>
        <sz val="11"/>
        <color rgb="FF000000"/>
        <rFont val="Calibri"/>
        <family val="2"/>
        <scheme val="minor"/>
      </rPr>
      <t>Staphylococcus aureus.</t>
    </r>
  </si>
  <si>
    <t>When treating an infant with oral thrush, nystatin should be applied:</t>
  </si>
  <si>
    <t>Before feedings</t>
  </si>
  <si>
    <t>After feedings</t>
  </si>
  <si>
    <t>During feedings</t>
  </si>
  <si>
    <t>Three times a day at regular intervals</t>
  </si>
  <si>
    <t>Nystatin should be applied right after feedings. The infant should not eat or drink anything for at least 30 minutes after application. Before feedings, during feedings, or three times a day is inappropriate administration of this medication.</t>
  </si>
  <si>
    <t>The nurse recognizes that a child in a hip spica cast cannot sit normally. To promote an environment of healing, the nurse's BEST action is to:</t>
  </si>
  <si>
    <t>Keep the child in bed and limit movement</t>
  </si>
  <si>
    <t>Rotate the child from supine to prone frequently</t>
  </si>
  <si>
    <t>Allow the child to get up and use the restroom</t>
  </si>
  <si>
    <t>Feed the child in a supine position</t>
  </si>
  <si>
    <t>It is important to rotate the child’s position throughout the day while they are in a hip spica cast. This prevents pressure injuries and promotes development of neck and upper body muscles. The child is unable to use the restroom normally and may require diapers or a bedpan. Feeding should take place in a prone position to allow the child to feed themselves as much as possible. The nurse should not keep the child in bed or limit movement because this will hinder growth and development and the use of upper body muscles.</t>
  </si>
  <si>
    <t>Children with varicella virus remain contagious:</t>
  </si>
  <si>
    <t>Until they are afebrile for 24 hours</t>
  </si>
  <si>
    <t>For 24 hours after the rash first appears</t>
  </si>
  <si>
    <t>Until all lesions are crusted</t>
  </si>
  <si>
    <t>Until the skin is clear of all lesions</t>
  </si>
  <si>
    <t>The period of communicability for varicella (chickenpox) begins up to 5 days before the first appearance of the body rash. The period of communicability continues until all lesions on the skin are crusted.</t>
  </si>
  <si>
    <t>The nurse is reviewing the results of a skeletal survey from a previously healthy 3-month-old patient. The imaging shows acute and chronic fractures along the long bones and anterior bilateral ribs. The nurse recognizes that the results suggest:</t>
  </si>
  <si>
    <t>Ewing sarcoma</t>
  </si>
  <si>
    <t>Child abuse</t>
  </si>
  <si>
    <t>Child neglect</t>
  </si>
  <si>
    <t>A skeletal survey is a series of radiographs to assess for bone trauma in a suspected abuse victim. The result of new and old fractures is concerning for child abuse. The nurse should know the developmental stages for infants and children. A 3-month-old infant is not yet mobile, so it is unlikely the child acquired these fractures from moving around. Aplastic anemia is diagnosed using a bone marrow biopsy. Ewing sarcoma usually affects individuals age 10 to 20 years and presents as tumors in the bone or soft tissue. Neglect is the failure to care for the child properly, such as failure to provide adequate food, clothing, shelter, or emotional support.</t>
  </si>
  <si>
    <t>The nurse is assessing an adolescent patient with anterior chest pain and tenderness over the costochondral junctions. Which action would the nurse take to confirm a suspicion of costochondritis?</t>
  </si>
  <si>
    <t>Assess whether pain is relieved when the patient sits up</t>
  </si>
  <si>
    <t>Auscultate breath sounds</t>
  </si>
  <si>
    <t>Palpate to reproduce the pain</t>
  </si>
  <si>
    <t>Auscultate heart sounds</t>
  </si>
  <si>
    <t>Musculoskeletal conditions are common causes of chest pain in the pediatric population. Costochondritis is characterized by anterior chest pain and tenderness to palpation over the sternocostal or costochondral junctions. Reproduction of the patient’s pain on palpation is the most indicative sign. Chest pain can be pleuritic in nature and exacerbated by deep inspiration. Bronchospasm, a common pulmonary cause of chest pain, would be accompanied by symptoms such as cough, fever, or wheezing. Pericarditis can present with pleuritic-type chest pain that is relieved by sitting up. Patients are often unable to assume the supine position, and the pain is frequently referred to the neck, shoulders, and abdomen. On physical examination, a pericardial friction rub may be noted in the midprecordial area with the patient supine.</t>
  </si>
  <si>
    <t>What microorganism MOST commonly causes hand-foot-mouth disease?</t>
  </si>
  <si>
    <t>Coxsackievirus A16</t>
  </si>
  <si>
    <t>Group A beta-hemolytic streptococcus</t>
  </si>
  <si>
    <t>Sarcoptes scabiei</t>
  </si>
  <si>
    <t xml:space="preserve">Hand-foot-mouth disease is an acute virus that can spread quickly in a school population and is most common in children younger than 10 years. It is commonly caused by coxsackievirus A16. </t>
  </si>
  <si>
    <t>The nurse is assessing an 8-year-old patient who complains of photophobia. Upon examination, the nurse finds eyelid edema and watery, mucoid discharge. Which treatment would the nurse expect to administer?</t>
  </si>
  <si>
    <t>Antibiotic ophthalmic drops</t>
  </si>
  <si>
    <t>The patient’s symptoms are consistent with viral conjunctivitis. Warm or cold compresses can be used to alleviate symptoms of viral conjunctivitis. Eye drops with an antihistamine are used to alleviate symptoms of allergic conjunctivitis. Bacterial conjunctivitis is generally treated with an ophthalmic antibiotic (drops or ointment, not intravenous).</t>
  </si>
  <si>
    <t>The nurse is assessing a patient in skeletal traction and notes tenting around a pin-insertion site. Which of the following is the MOST accurate statement regarding this finding?</t>
  </si>
  <si>
    <t>Fluid is collecting at the insertion site.</t>
  </si>
  <si>
    <t>New skin has attached to the insertion site.</t>
  </si>
  <si>
    <t>Infection has started at the insertion site.</t>
  </si>
  <si>
    <t>Old skin is sloughing off at the insertion site.</t>
  </si>
  <si>
    <t>Patients in skeletal traction should be continually assessed for signs of infection or tenting. Tenting occurs when new skin attaches to a pin-insertion site, creating a tent-like configuration. Tenting may cause the skin to tear, which can promote infection.</t>
  </si>
  <si>
    <t>The nurse is providing education to the parents of a patient with infectious conjunctivitis. Which of the following will be included?</t>
  </si>
  <si>
    <t>The family should wash their hands frequently.</t>
  </si>
  <si>
    <t>No change to family practice (e.g., towel sharing, laundry routines) is required.</t>
  </si>
  <si>
    <t>The child is cleared for immediate return to school.</t>
  </si>
  <si>
    <t>The child should use vasoconstricting eye drops to alleviate eye redness.</t>
  </si>
  <si>
    <t>Infectious conjunctivitis is extremely contagious. The nurse will instruct the parents that everyone in the family must wash their hands frequently, particularly after caring for the child. The nurse will also instruct the parents to refrain from sharing towels and washcloths. Return to school is determined by the type of conjunctivitis. A child with viral conjunctivitis may return to school when symptoms lessen. A child with bacterial conjunctivitis can safely return to school 24 to 48 hours after antibiotic treatment commences. The parents should avoid use of vasoconstricting eye drops (e.g., tetryzoline) because rebound vasodilation may occur.</t>
  </si>
  <si>
    <t>A newborn infant has limited hip abduction and a positive Galeazzi sign. Which of the following is the MOST accurate statement regarding this patient's condition?</t>
  </si>
  <si>
    <t>It is more common in females, frank breech presentations, and oligohydramnios.</t>
  </si>
  <si>
    <t>It is more common in males, cephalic presentations, and polyhydramnios.</t>
  </si>
  <si>
    <t>It is more common in females, cephalic presentations, and polyhydramnios.</t>
  </si>
  <si>
    <t>It is more common in males, frank breech presentations, and oligohydramnios.</t>
  </si>
  <si>
    <t>Developmental dysplasia of the hip (DDH) occurs in approximately 3 to 5 of every 1,000 live births. Females are six times more likely to be affected than males, and a positive family history of DDH increases the risk fivefold. Another significant risk factor for DDH is a breech presentation at birth. Children who present in a frank breech position have a risk of DDH almost 20 times higher than children who have a cephalic presentation. Other associated abnormalities include oligohydramnios (decreased amniotic fluid in utero), torticollis, and metatarsus adductus (a form of clubfoot). If there is a dislocation, the femoral head may be placed superior to the acetabulum when the hips and knees are flexed at 90 degrees. This malpositioning will cause the knee on the affected side to be lower than the other knee, which is the Galeazzi sign. The normal range of hip abduction in an infant is from 0 degrees (with thighs perpendicular to the table) to almost 90 degrees (with thighs resting on the table). In DDH, a shortening of the adductor muscle on the medial aspect of the thigh while the femoral head is displaced superiorly causes the thigh to be limited in its range.</t>
  </si>
  <si>
    <t>The nurse is caring for a 7-month-old child with an active impetigo infection. The treatment plan is MOST likely to include:</t>
  </si>
  <si>
    <t>Cortisone cream applied daily</t>
  </si>
  <si>
    <t>Azithromycin 500 mg twice daily × 14 days</t>
  </si>
  <si>
    <t>Mupirocin topical 2% applied daily</t>
  </si>
  <si>
    <t>Admission for intravenous vancomycin</t>
  </si>
  <si>
    <t>Treatment for bacterial impetigo includes topical antibiotics such as mupirocin topical 2% daily. For infections refractory to topical antibiotics, oral antibiotics can be used. Azithromycin does not treat impetigo, and the dose of 500 mg twice daily for 14 days is inappropriate. Since this is a bacterial infection, topical steroids such as cortisone cream would not be used. If required, clindamycin or nafcillin would be used for treatment, not intravenous vancomycin.</t>
  </si>
  <si>
    <t>An adolescent patient who plays soccer presents with knee pain that increases with kneeling. Which of the following is the MOST likely treatment?</t>
  </si>
  <si>
    <t>Resting the knee</t>
  </si>
  <si>
    <t>Casting the leg</t>
  </si>
  <si>
    <t>Traction to the lower leg</t>
  </si>
  <si>
    <t>Osgood-Schlatter disease is a common cause of knee pain in growing adolescents. It is an overuse injury of the knee, in which the patellar tendon becomes inflamed at the tibial junction. The pain begins as a dull ache that increases with continued use of the knee. The pain is exacerbated by activities that require significant knee use (e.g., running, climbing stairs, kneeling), and the pain goes away with rest. Because the pain is due to overuse, resting the knee is paramount.</t>
  </si>
  <si>
    <t>Handwashing breaks which link in the chain of infection?</t>
  </si>
  <si>
    <t>First</t>
  </si>
  <si>
    <t>Second</t>
  </si>
  <si>
    <t>Third</t>
  </si>
  <si>
    <t>Fourth</t>
  </si>
  <si>
    <t>The third link in the chain of infection is the portal of exit. The pathogen leaves the reservoir via mucus, blood, or feces. The first link is the infectious agent, the second is the reservoir, and the fourth is the mode of transmission.</t>
  </si>
  <si>
    <t>A 5-year-old patient presents with a sore throat, headache, and difficulty swallowing. Upon assessment, the nurse finds small blisters in the child's mouth, throat, and tongue. The nurse suspects that the patient MOST likely has:</t>
  </si>
  <si>
    <t>Varicella</t>
  </si>
  <si>
    <t>Scabies</t>
  </si>
  <si>
    <t>Hand-foot-mouth disease</t>
  </si>
  <si>
    <t>Kawasaki disease</t>
  </si>
  <si>
    <t>Hand-foot-mouth disease is a common viral illness in children younger than 10 years. Children present with blisters on their hands, on their feet, and in the mouth. Varicella lesions, which are papules that turn into vesicles and pustules and then crust over, are initially found on the abdomen and back. Scabies lesions are commonly found in the webs of the hands, on the waist, and in genital areas. Kawasaki disease is an inflammatory condition that can affect multiple body systems. It can cause symptoms like red, swollen hands and feet, a rash, and swollen lymph nodes, but it does not present with small blisters in the mouth.</t>
  </si>
  <si>
    <t>Which of the following is an autoimmune disorder characterized by the destruction of beta cells in the pancreas?</t>
  </si>
  <si>
    <t>Type 2 diabetes mellitus</t>
  </si>
  <si>
    <t>Type 1 diabetes mellitus</t>
  </si>
  <si>
    <t>Type 1 diabetes mellitus is a chronic autoimmune disorder that causes destruction of the beta cells in the pancreas, resulting in insulin deficiency and hyperglycemia. Type 2 diabetes mellitus is usually acquired and is characterized by abnormal insulin secretion, insulin resistance, or decrease in insulin receptors. Cushing syndrome is typically caused by excess production of adrenocorticotropic hormone by the pituitary gland. Syndrome of inappropriate antidiuretic hormone (SIADH) is a electrolyte disorder that causes hyponatremia.</t>
  </si>
  <si>
    <t>The nurse is performing a newborn assessment immediately after birth. Erythromycin ointment is applied to both of the neonate’s eyes. This medication is prophylactic treatment for which of the following conditions?</t>
  </si>
  <si>
    <t>Herpes keratitis</t>
  </si>
  <si>
    <t>Cataracts</t>
  </si>
  <si>
    <t>Ophthalmic neonatorum</t>
  </si>
  <si>
    <t>Eye prophylaxis is administered to the neonate immediately after birth to prevent ophthalmia neonatorum (conjunctivitis contracted during birth from passage through the birth canal). Erythromycin ointment is not given to prevent cataracts or strabismus. Cataracts are opacities of the lens of the eye that are often found in children with congenital rubella or galactosemia and in children on cortisone therapy. Strabismus is neuromuscular incoordination of the eye alignment. Herpes keratitis is a viral infection of the eye caused by the herpes simplex virus.</t>
  </si>
  <si>
    <t>The nurse is caring for a 10-year-old patient with dry skin; thin, coarse hair; and puffy eyes. The nurse recognizes these are cardinal signs for:</t>
  </si>
  <si>
    <t>Lymphocytic thyroiditis</t>
  </si>
  <si>
    <t>Growth hormone deficiency</t>
  </si>
  <si>
    <t>Juvenile hypothyroidism presents similarly to adult-onset hypothyroidism: dry skin, puffy eyes, sparse hair, constipation, sleepiness, and mental decline. Hyperthyroidism in children can present as restlessness, behavioral issues, decreased performance in school, emotional lability, and increased appetite with weight loss. Lymphocytic thyroiditis, also known as Hashimoto disease, presents with dry skin, hair loss, and constipation. Growth hormone deficiency presents with dwarfism in children.</t>
  </si>
  <si>
    <t>Which meningococcal vaccine will the nurse administer to an 18-month-old patient who will be traveling internationally?</t>
  </si>
  <si>
    <t>MenB-4C</t>
  </si>
  <si>
    <t>MenACWY</t>
  </si>
  <si>
    <t>MenB-FHbp</t>
  </si>
  <si>
    <t>MenACWY and MenB</t>
  </si>
  <si>
    <t>MenACWY is recommended for children 2 months to 10 years of age who are traveling to a country where strains of the meningococcal bacteria are common. The MenB-4C and MenB-FHbp vaccines are administered to children older than 10 years who meet specific criteria. Both MenACWY and MenB can be administered at the same time, in different arms, to individuals between 16 and 18 years of age.</t>
  </si>
  <si>
    <t>An infant with gonococcal ophthalmia neonatorum would be expected to present with:</t>
  </si>
  <si>
    <t>Edematous eyelids with watery discharge that becomes purulent</t>
  </si>
  <si>
    <t>Persistent tearing with crusting in the morning and mucoid discharge</t>
  </si>
  <si>
    <t>Red conjunctiva, profuse purulent discharge, and swollen eyelids</t>
  </si>
  <si>
    <t>Tender, warm, swollen lacrimal duct that may cause orbital cellulitis</t>
  </si>
  <si>
    <t>A patient with gonococcal ophthalmia neonatorum will typically present 2 to 5 days after birth with reddened conjunctiva, swollen eyelids, and large amounts of purulent discharge. Chlamydial ophthalmia neonatorum (trachoma) develops 4 to 10 days after birth. Eyelids become edematous and red with profuse watery discharge that later becomes purulent. Congenital lacrimal duct obstruction (dacryostenosis), also known as congenital nasolacrimal duct obstruction, occurs in up to 20% of newborns. There is persistent tearing with crusting in the morning and mucoid discharge. Acute dacryocystitis causes redness, warmth, tenderness, and swelling of the lacrimal sac. Infections are usually caused by streptococcal or staphylococcal organisms, and severe cases may spread and cause orbital cellulitis.</t>
  </si>
  <si>
    <t>The most common cause of thyroid disease in adolescent and juvenile patients is:</t>
  </si>
  <si>
    <t>Goiter</t>
  </si>
  <si>
    <t>Lymphocytic thyroiditis is the most common cause of thyroid disease in children and adolescents. Also known as Hashimoto disease or chronic autoimmune thyroiditis, it typically occurs in children older than 6 years. Graves disease is associated with hyperthyroidism. Goiter (enlarged thyroid gland) is a symptom of thyroid issues, not a cause. Thyrotoxicosis is a complication from uncontrolled hyperthyroidism.</t>
  </si>
  <si>
    <t>Which of the following is the MOST appropriate anticipatory guidance on ways to prevent Lyme disease?</t>
  </si>
  <si>
    <t>Avoid grassy areas, use tweezers to remove ticks, and wear long pants.</t>
  </si>
  <si>
    <t>Avoid grassy areas, seek prompt medical attention when a tick is found, and wear long pants.</t>
  </si>
  <si>
    <t>Use tweezers to remove ticks, seek prompt medical attention when a tick is found, and wear long pants.</t>
  </si>
  <si>
    <t>Use tweezers to remove ticks, seek prompt medical attention when a tick is found, and always use DEET.</t>
  </si>
  <si>
    <t>Children should be advised to avoid grassy and wooded areas where ticks are abundant. If children must be in such areas, they should be dressed in protective clothing—long pants and long-sleeved shirts. Repellents containing DEET should not be used in children younger than 1 year. DEET is absorbed through the skin and may cause toxicity in this population. If a tick attaches to the skin, it should be removed immediately using tweezers or forceps, making sure to remove the entire tick, including the mouth parts. It is necessary to seek prompt medical attention for initiation of antibiotic therapy only if symptoms such as fever, erythema, or a rash in the area of the bite develop.</t>
  </si>
  <si>
    <t>The nurse is assessing a newborn patient with an enlarged clitoris and a fused labium that resembles a scrotal, sac-like structure. The nurse recognizes that this is a sign of:</t>
  </si>
  <si>
    <t>Congenital adrenal hyperplasia is caused by a decrease in enzyme activity required for cortisol production. In infants assigned female at birth, it presents at birth with the masculinization of genitals. Infants assigned male typically do not have genital abnormalities at birth; however, they can present with ambiguous genitalia (e.g., hypospadias, micropenis, no palpable gonads). Cushing syndrome is rare in childhood and is typically secondary to steroid use; the child develops cushingoid symptoms and appearance. Juvenile hypothyroidism presents similarly to adult-onset hypothyroidism, with dry skin, puffy eyes, sparse hair, constipation, sleepiness, and mental decline. Pheochromocytoma is a tumor that can develop in childhood. Hallmark signs include malignant hypertension and tachycardia.</t>
  </si>
  <si>
    <t>A child who recently immigrated to the country was given a tuberculin skin test 48 hours ago and subsequently developed a 20-mm indurated area where the test was administered. The parents bring the child to the ED for assessment. The nurse's best INITIAL question is:</t>
  </si>
  <si>
    <t>"Has your child been coughing?"</t>
  </si>
  <si>
    <t>"Was your child given a BCG vaccine?"</t>
  </si>
  <si>
    <t>"Did your child scratch the injection site?"</t>
  </si>
  <si>
    <t>"What is your country of origin?"</t>
  </si>
  <si>
    <t>The nurse should first inquire whether the child was given a BCG (Bacillus Calmette-Guérin) vaccine. Many countries vaccinate children with BCG, which may cause a false-positive tuberculin skin test. Cough may or may not be a clinical manifestation of tuberculosis, so it would not be the first line of questioning. It is appropriate to ask the parents their country of origin; however, it would not be the initial question. Regions where risk for tuberculosis is elevated include Africa, Asia, the Caribbean, the Middle East, Mexico, Central and South America, and countries of the former Soviet Union. Scratching of the site will not result in an indurated (raised) area.</t>
  </si>
  <si>
    <t>The nurse is preparing to administer the first dose of amoxicillin to a patient with acute otitis media. The patient is 18 months old and weighs 22 lb. The correct dose is:</t>
  </si>
  <si>
    <t>330 mg</t>
  </si>
  <si>
    <t>450 mg</t>
  </si>
  <si>
    <t>675 mg</t>
  </si>
  <si>
    <t>990 mg</t>
  </si>
  <si>
    <t>A typical dose of amoxicillin for this condition is 45 mg/kg by mouth twice daily. To determine the correct dose, the nurse must first convert the patient's weight from pounds to kilograms. At a weight of 10 kg, the patient would receive a 450-mg dose.</t>
  </si>
  <si>
    <t>The nurse is preparing to administer amoxicillin/clavulanate to a patient with acute otitis media who did not respond to amoxicillin treatment. The patient is 18 months old and weighs 22 lb. The correct dose is:</t>
  </si>
  <si>
    <t>A typical dose of amoxicillin/clavulanate for this condition is 45 mg/kg by mouth twice daily. The nurse must convert the patient's weight to kilograms to calculate the correct dose. Since the patient weighs 10 kg, they would receive a dose of 450 mg.</t>
  </si>
  <si>
    <t>The nurse is caring for a child who has been diagnosed with an excessive secretion of growth hormone that occurred after epiphyseal closure. The MOST likely cause is:</t>
  </si>
  <si>
    <t>Giantism</t>
  </si>
  <si>
    <t>Acromegaly</t>
  </si>
  <si>
    <t>Acromegaly is an oversecretion of growth hormone that occurs after epiphyseal closure. It produces characteristic facial features such as overgrown head, lips, and nose, as well as increased facial hair. Giantism presents with a tall stature, headaches, visual changes, and exaggerated growth of hands. Cushing syndrome presents with weight gain around the core and fat loss in the extremities. Hyperparathyroidism symptoms include kidney stones, excessive thirst, loss of appetite, weakness, and nausea.</t>
  </si>
  <si>
    <t>The nurse is reviewing the home glucose log of a child with diabetes and notices a trend of the patient's glucose level elevating in the middle of the night. The nurse recognizes this condition as:</t>
  </si>
  <si>
    <t>The patient is experiencing true dawn phenomenon. Glucose levels are normal before bedtime and then begin to rise around 3 a.m. Somogyi effect, also called rebound hyperglycemia, occurs when blood glucose is elevated at bedtime, drops around 2 a.m., and subsequently rises again the following morning. Insulin waning occurs when there is a gradual rise in blood glucose from bedtime to the following morning. Ketosis occurs when the body produces excess blood acids. Patients present with fatigue and fruity-smelling breath.</t>
  </si>
  <si>
    <t>The nurse is reviewing recent orders for a patient who has been experiencing frequent urination and excessive thirst. The physician has ordered a fasting plasma glucose level and hemoglobin A1C. The nurse recognizes that the patient is being tested for:</t>
  </si>
  <si>
    <t>Insulin resistance</t>
  </si>
  <si>
    <t>Impaired fasting glucose</t>
  </si>
  <si>
    <t>The diagnostic studies used for diabetes mellitus are fasting plasma glucose level and hemoglobin A1C. Hypothyroidism is diagnosed with thyroid-stimulating hormone (TSH), triiodothyronine (T3), and thyroxine (T4) labs. Insulin resistance is a manifestation of type 1 diabetes. Impaired fasting glucose is a test used to diagnose diabetes; it is not a disease in itself.</t>
  </si>
  <si>
    <t>A 5-year-old patient has a blood glucose result of 60 mg/dL. The nurse's BEST initial action is to:</t>
  </si>
  <si>
    <t>Do nothing; this is a normal blood glucose result</t>
  </si>
  <si>
    <t>Give the child orange juice, followed by a protein snack</t>
  </si>
  <si>
    <t>Administer intravenous (IV) dextrose fluids</t>
  </si>
  <si>
    <t>Administer intramuscular (IM) glucagon</t>
  </si>
  <si>
    <t>The child is experiencing mild signs of hypoglycemia. Intervention is required to prevent the child from progressing to severe hypoglycemia. The nurse should give the child a simple carbohydrate substance, such as orange juice, followed by a protein snack. The patient should then be monitored closely to ensure that glucose levels return to normal. Glucagon IM is used to treat severe cases of hypoglycemia and would not be the first line for this patient. IV dextrose fluids are used to maintain glucose levels in more critically ill children.</t>
  </si>
  <si>
    <t>Who are the MOST likely perpetrators of infant abuse?</t>
  </si>
  <si>
    <t>Daycare workers</t>
  </si>
  <si>
    <t>Older siblings</t>
  </si>
  <si>
    <t>Relatives living outside the home</t>
  </si>
  <si>
    <t>Parents of the child</t>
  </si>
  <si>
    <t>Parents are the most likely perpetrators of abuse in infants, followed by daycare workers, and then relatives living outside the home. Siblings are not statistically significant abusers.</t>
  </si>
  <si>
    <t>A parent is reprimanding their child in the waiting room, and the nurse overhears the following statement: “Who cares if you're missing school today? You'll never amount to anything anyway.” The nurse notifies the provider about their concern for:</t>
  </si>
  <si>
    <t>Developmental delay</t>
  </si>
  <si>
    <t>Emotional abuse</t>
  </si>
  <si>
    <t>Uneducated parent</t>
  </si>
  <si>
    <t>Emotional abuse can present as ridicule, rejection, isolation, and terrorizing of the child. Physical abuse involves physical harm to the child, such as burning, cutting, or hitting. Developmental delays are classified as physical or cognitive delays. Uneducated parents are something to note in the patient's record; however, the healthcare staff can provide only general information to help the parent understand the importance of education and support.</t>
  </si>
  <si>
    <t>When performing a well-child check on a 5-year-old patient, the nurse notes that the child is underweight and is wearing dirty clothing. When the nurse asks the parent what the child eats during a typical day, the parent responds, “I don’t know. I work two jobs. I don't have time to watch my child eat.” The nurse is concerned about possible:</t>
  </si>
  <si>
    <t>Gastrointestinal disease</t>
  </si>
  <si>
    <t>Neglect involves the absence of care or the absence of necessities. Caregivers should provide a child with food, clean clothing, and shelter. When the caregiver is not providing the child with these necessities, and the child is suffering as a result, it is called neglect. Abuse is active harm to a child and takes the form of physical abuse (e.g., hitting, burning with cigarettes), sexual abuse, or active emotional abuse. A viral infection presents with head, eyes, ears, nose, and throat (HEENT) symptoms and fever. Gastrointestinal disease would manifest as nausea, vomiting, diarrhea, and possible fever.</t>
  </si>
  <si>
    <t>The nurse is assessing a previously healthy 11-year-old female patient who has started speaking in three-word sentences, throwing tantrums, and drawing crude stick figures. The concerned parent notes that the child used to read books and write in her journal daily. The nurse recognizes that the child is exhibiting signs of:</t>
  </si>
  <si>
    <t>Neurodevelopmental delay</t>
  </si>
  <si>
    <t>General anxiety disorder</t>
  </si>
  <si>
    <t>Regression is a sign of abuse, which can include physical, sexual, or emotional abuse. Any child who was previously healthy and showed no signs of developmental delay should be evaluated for abuse when regression is noted. Neurodevelopmental delay is a delay in skill development, not a regression. Meningitis is the inflammation of the membranes covering the brain and spinal cord. It manifests with headache, fever, and stiff neck. General anxiety disorder presents as worry, restlessness, and difficulty concentrating.</t>
  </si>
  <si>
    <t>The nurse is caring for an 8-year-old patient who is being treated for burns on the buttocks secondary to hot water. The nurse notes that the child has “dunk” wounds. Which of the following is the MOST accurate statement regarding this patient?</t>
  </si>
  <si>
    <t>The child was lying in the tub of hot water with their legs up.</t>
  </si>
  <si>
    <t>The child was placed into the hot water by another person.</t>
  </si>
  <si>
    <t>The child spilled hot water onto their skin.</t>
  </si>
  <si>
    <t>The child was splashed with hot water.</t>
  </si>
  <si>
    <t>The child presents with burns on the buttocks and “dunk” wounds, meaning that the soles of the feet and parts of the legs were spared. This indicates that when the child was placed in the tub by another person, they retracted the feet and legs due to the extreme heat. The nurse should contact child protective services and local authorities to report abuse.</t>
  </si>
  <si>
    <t>The nurse is caring for a child who was brought to the ED for a burn wound. During the assessment, the nurse notes that the burn is shaped like a clothing iron. The nurse alerts the physician to suspected child abuse. The nurse's BEST next step is to:</t>
  </si>
  <si>
    <t>Alert the parents to the burn findings</t>
  </si>
  <si>
    <t>Prepare the patient for admission</t>
  </si>
  <si>
    <t>Draw serum calcium and phosphorus levels</t>
  </si>
  <si>
    <t>Prepare the patient for CT scan</t>
  </si>
  <si>
    <t>If child abuse is suspected or confirmed, the child should be admitted to the hospital as soon as possible to protect the child. It is important to try and keep the child in a safe place while contacting social services and local law enforcement. Admitting the child would be the next best step, after which the nurse would care for the burn wounds. The physician may order a skeletal survey or a CT scan and all relevant labs, but those would be done post admission.</t>
  </si>
  <si>
    <t>During the well-child visit for a 3-year-old patient, the nurse notices a single, irregularly shaped burn mark on the side of the child’s forehead. The nurse's BEST action is to:</t>
  </si>
  <si>
    <t>Care for the wound and educate the parents on holding their cigarettes higher</t>
  </si>
  <si>
    <t>Notify the physician of suspected child abuse</t>
  </si>
  <si>
    <t>Refer the child to the ED</t>
  </si>
  <si>
    <t>Keep the child in the clinic until local authorities arrive</t>
  </si>
  <si>
    <t>The nurse should care for the wound and educate the parents on holding their cigarettes higher, as well as on smoking cessation. While cigarette burn marks should always be of concern, the nurse should be able to differentiate between an accidental burn and a purposeful burn. This child’s wound is irregular, in one location, and on the forehead. This indicates that the child likely ran into the cigarette, and the adult and/or child then recoiled in response, which left an irregular burn mark. Burn wounds on the arms, legs, or inner thighs, or those shaped like a circle, would be more indicative of abuse.</t>
  </si>
  <si>
    <t>Which of the following is the MOST accurate statement regarding pediatric suicide?</t>
  </si>
  <si>
    <t>Male patients tend to use less-violent methods.</t>
  </si>
  <si>
    <t>Suicidal individuals collect items prior to their attempt.</t>
  </si>
  <si>
    <t>Females patients tend to be more successful at completing suicide.</t>
  </si>
  <si>
    <t>Suicidal individuals often exhibit a sudden change in behavior in school.</t>
  </si>
  <si>
    <t>Pediatric patients who are at risk for suicide may have a dramatic change of behavior in school. The changes may also extend to appetite and sleep patterns. In addition, these patients may talk about death or dying, give away precious items (not collect them), and run away from home. Male patients tend to be more successful at completing suicide because they often use more violent and lethal methods (e.g., gunshot), whereas female patients are more likely to use less-lethal means such as drug overdose.</t>
  </si>
  <si>
    <t>A child with autism spectrum disorder (ASD) is struggling when the nurse attempts to administer oral medication during an office visit. The nurse's BEST action is to:</t>
  </si>
  <si>
    <t>Hold the child tightly and administer the medication quickly</t>
  </si>
  <si>
    <t>Allow the parents to administer the medication during the visit</t>
  </si>
  <si>
    <t>Give the medication to the parents to administer at home</t>
  </si>
  <si>
    <t>Ask the child if they want the medication to be administered now or later</t>
  </si>
  <si>
    <t>A child with ASD has sensory deficits that affect their everyday life, including communication and social challenges. Children with ASD can often feel overwhelmed in social situations and when interacting with people they do not know. The nurse is a stranger, so the child is exhibiting signs of anxiety and fear. The nurse's best action is to allow the parents to administer the medication during the visit. A child with autism should never be physically restrained because this can cause significant stress and may even harm the child. Medications should not be avoided simply because the child has ASD. Children with autism might have altered abilities to reason, depending on age and developmental status, so the child should not be allowed to determine when the medication will be administered.</t>
  </si>
  <si>
    <t>The nurse is performing an assessment on a 14-year-old female patient who is 20% underweight for her height. The patient has thinning hair and brittle nails, as well as fine, downy body hair on her back. How should the nurse document the body hair finding?</t>
  </si>
  <si>
    <t>Actinic keratosis</t>
  </si>
  <si>
    <t>Lanugo</t>
  </si>
  <si>
    <t>Russell sign</t>
  </si>
  <si>
    <t>Telogen effluvium</t>
  </si>
  <si>
    <t>The appearance of fine, downy body hair should be documented as lanugo, which is commonly associated with anorexia nervosa. Actinic keratosis is a rough, scaly patch on the skin that develops from years of exposure to the sun. It is most commonly found on the face, lips, ears, back of the hands, forearms, scalp, or neck. Russell sign involves calluses on the knuckles or back of the hand that result from repeated self-induced vomiting over long periods of time. Telogen effluvium is a scalp disorder characterized by the thinning or shedding of hair; it results from the early entry of hair into the telogen phase (temporary hair loss).</t>
  </si>
  <si>
    <t>A mother brings her infant into the clinic for a well-child visit 5 weeks after birth. While assessing the infant, the nurse notes that the mother has poor personal hygiene and is not attentive to the infant’s cries. The nurse shares this information with the physician. Which of the following tools will the physician use when consulting with the infant's mother?</t>
  </si>
  <si>
    <t>Beck Depression Inventory</t>
  </si>
  <si>
    <t>CAGE Questionnaire</t>
  </si>
  <si>
    <t>Mini-Mental State Exam</t>
  </si>
  <si>
    <t>PHQ-9 Questionnaire</t>
  </si>
  <si>
    <t>When assessing a newborn, the nurse should also assess the newborn's mother for signs and symptoms of postpartum depression, including poor personal hygiene and inattentiveness to the infant's needs. The nurse anticipates that the physician will use the Beck Depression Inventory to screen for postpartum depression. The PHQ-9 Questionnaire is used to monitor the severity of depression and the response to treatment. The CAGE questionnaire is used to screen for alcohol use disorder. The Mini-Mental State Exam is a screening tool for cognitive impairment that is used in older populations.</t>
  </si>
  <si>
    <t>Which of the following is a cause of peripheral precocious puberty?</t>
  </si>
  <si>
    <t>Radiotherapy</t>
  </si>
  <si>
    <t>Neoplasms</t>
  </si>
  <si>
    <t>Peripheral precocious puberty occurs when sex hormone glands begin functioning earlier than normal. Causes include familial history, congenital adrenal hyperplasia, and primary hypothyroidism. Radiotherapy, neoplasms, and encephalitis are possible causes for central precocious puberty, which is early sexual development. It occurs before age 8 years in female patients and before age 9 years in male patients.</t>
  </si>
  <si>
    <t>The nurse is caring for a patient with a urinary catheter. Which action would the nurse take to prevent a urinary tract infection (UTI)?</t>
  </si>
  <si>
    <t>Maintain an open drainage system</t>
  </si>
  <si>
    <t>Place the collection bag on the floor</t>
  </si>
  <si>
    <t>Empty the collection bag only when it is full</t>
  </si>
  <si>
    <t>Keep the collection bag lower than the bladder</t>
  </si>
  <si>
    <t>To reduce the risk of UTI, the collection bag should be kept lower than the bladder. The risk of infection is higher with an open drainage system and/or when the bag is emptied only when it is full. The bag should not be placed on the floor.</t>
  </si>
  <si>
    <t>An 11-year-old female patient with scant terminal pubic hair, enlarged breast tissue, and areola with no separation of the contour is at which Tanner stage?</t>
  </si>
  <si>
    <t>IV</t>
  </si>
  <si>
    <t>An 11-year-old female patient with scant terminal pubic hair, enlarged breast tissue, and areola with no separation of contour is at Tanner stage III. Tanner stage I is prepuberty, and Tanner stage II is characterized by breast buds and sparse pubic hair. In Tanner stage IV, the areola and nipples separate and form a secondary mound, and pubic hair is curly.</t>
  </si>
  <si>
    <t>A 13-year-old male patient with Cushing syndrome is MOST likely to exhibit which of the following signs?</t>
  </si>
  <si>
    <t>Excess estrogen</t>
  </si>
  <si>
    <t>Pseudogynecomastia</t>
  </si>
  <si>
    <t>Accelerated growth in height</t>
  </si>
  <si>
    <t>Cushing syndrome is caused by prolonged high levels of cortisol in the body. It is associated with delayed puberty and growth failure in children and adolescents. Patients with Cushing syndrome have an excess of androgens, not estrogen. Gynecomastia occurs with Cushing syndrome, not pseudogynecomastia. Pseudogynecomastia is caused by the deposition of fat; whereas gynecomastia is caused by excess cortisol.</t>
  </si>
  <si>
    <t>Three days after delivering a healthy infant, the infant's mother calls the office and states, “My daughter’s vagina is swollen, and there is a small amount of blood coming out.” The nurse's best INITIAL action is to:</t>
  </si>
  <si>
    <t>Instruct the mother to take the infant to the ED</t>
  </si>
  <si>
    <t>Instruct the mother to bring the infant to the office for evaluation</t>
  </si>
  <si>
    <t>Reassure the mother that this is a normal finding in a 3-day-old infant</t>
  </si>
  <si>
    <t>Instruct the mother to cleanse the infant's genitals with soap and warm water</t>
  </si>
  <si>
    <t>At approximately age 2 to 3 days, a newborn assigned female at birth may bleed from the vagina, and the labia may be swollen. This is caused by withdrawal from hormone exposure in the womb and is a normal finding. Evaluation in the office or the ED is not required unless the bleeding does not stop or increases in volume. Although it is important to gently cleanse the genitals with warm water, soap should be avoided because it can irritate the vaginal mucosa.</t>
  </si>
  <si>
    <t>Which of the following should be included in the assessment of an infant diagnosed with cryptorchidism at birth?</t>
  </si>
  <si>
    <t>Testosterone level</t>
  </si>
  <si>
    <t>Cremasteric reflex</t>
  </si>
  <si>
    <t>Abdominal and pelvic ultrasound</t>
  </si>
  <si>
    <t>Palpation from the iliac crest to the scrotum</t>
  </si>
  <si>
    <t>Palpation from the iliac crest to the scrotum allows the nurse to assess for the presence, quality, and position of the testes. Hormonal therapy is not a recommended treatment for this condition; therefore, a testosterone level is unnecessary. The cremasteric reflex is a test for a superficial reflex, so it is not relevant in this case. Imaging for cryptorchidism is not recommended prior to referral.</t>
  </si>
  <si>
    <t>Which of the following is the MOST appropriate guidance on measures to prevent urinary tract infections (UTIs)?</t>
  </si>
  <si>
    <t>Wear nylon underwear, treat constipation, and take bubble baths</t>
  </si>
  <si>
    <t>Wear cotton underwear, stop fluids after dinner, and avoid bubble baths</t>
  </si>
  <si>
    <t>Wear cotton underwear, treat constipation, and avoid bubble baths</t>
  </si>
  <si>
    <t>Wear nylon underwear, stop fluids after dinner, and take bubble baths</t>
  </si>
  <si>
    <t>To prevent UTIs, patients should be advised to practice perineal hygiene, wipe front to back, avoid tight clothing, wear cotton underwear rather than nylon underwear, avoid holding urine, treat constipation, maintain adequate fluid intake, and avoid bubble baths.</t>
  </si>
  <si>
    <t>A 3-year-old patient was seen in the office 8 days ago and was prescribed oral amoxicillin 200 mg three times daily × 10 days for strep throat. The child's parent is worried that the child is not getting better, stating that the child seems very tired, has no appetite, and has dark urine. A urine dipstick reveals protein, albumin, and blood. Which of the following is MOST likely to be ordered next?</t>
  </si>
  <si>
    <t>CT scan of the kidneys</t>
  </si>
  <si>
    <t>Fasting blood metabolic panel with complete blood count with differential</t>
  </si>
  <si>
    <t>4-hour urine collection for protein and creatinine clearance</t>
  </si>
  <si>
    <t>24-hour urine collection for blood, protein, and creatinine clearance</t>
  </si>
  <si>
    <t>While urine dipstick testing is useful in gross analysis of urine, the test is not definitive for diagnosing disorders. Therefore, a 24-hour urine collection for blood, protein, and creatinine clearance would most likely be ordered because it is more sensitive in evaluation of renal function. A CT scan and fasting blood metabolic panel with complete blood count with differential are not the priority tests to be completed next because overall renal function must be determined first.</t>
  </si>
  <si>
    <t>While examining an admitted patient, the nurse notes a shallow, open injury with a red-pink wound bed and partial-thickness loss of dermis on the patient's sacral area. This wound is a:</t>
  </si>
  <si>
    <t>Stage I pressure injury</t>
  </si>
  <si>
    <t>Stage II pressure injury</t>
  </si>
  <si>
    <t>Stage III pressure injury</t>
  </si>
  <si>
    <t>Stage IV pressure injury</t>
  </si>
  <si>
    <t>A stage II pressure injury is defined as a partial-thickness loss of dermis presenting as a shallow, open ulcer with a red-pink wound bed. Stage I is defined as intact skin with a localized area of nonblanchable redness, usually over a bony prominence. Stage III is defined as full-thickness tissue loss without exposed bone, tendon, or muscle. Stage IV is defined as full-thickness tissue loss with exposed bone, tendon, and muscle.</t>
  </si>
  <si>
    <t>An Asian-American parent presents to the clinic with their newborn. Upon assessment, the nurse notes black-colored patches on the neonate’s lumbosacral area. How will the nurse document these findings?</t>
  </si>
  <si>
    <t>Milia</t>
  </si>
  <si>
    <t>Erythema toxicum neonatorum</t>
  </si>
  <si>
    <t>Slate gray nevi</t>
  </si>
  <si>
    <t>Nevus flammeus</t>
  </si>
  <si>
    <t xml:space="preserve">Slate gray nevi </t>
  </si>
  <si>
    <t>Slate gray nevi are the most common type of skin lesions in neonates and are more prevalent in neonates of Asian descent. The lumbosacral area is the typical location for these blue- to black-colored spots, which usually fade by age 3 years. Milia are tiny white papules located on the forehead, nose, and cheeks. They contain sebaceous material and keratin and appear during the first week of life. Erythema toxicum neonatorum manifests as small whitish pustules surrounded by a red base. Nevus flammeus ("port-wine stain") is a pink-red, congenital, cutaneous, vascular malformation that appears on the face of a newborn.</t>
  </si>
  <si>
    <t>The nurse is providing education about newborn skin lesions to a group of parents in a childbirth class. Which of the following statements made by a parent indicates that the teaching has been effective?</t>
  </si>
  <si>
    <t>"If my infant has milia, they will need antibiotic treatment."</t>
  </si>
  <si>
    <t>"If I see tufts of hair on my baby's lower back, they may need an ultrasound."</t>
  </si>
  <si>
    <t>"Slate gray nevi need to be evaluated right away because they could be a sign of a serious condition."</t>
  </si>
  <si>
    <t>"Small white pustules with a red base should be treated with topical antibiotics."</t>
  </si>
  <si>
    <t>A faun tail nevus (tufts of hair at the bottom of the back) could be an indication of a neural tube defect. An ultrasound is generally required to rule out occult spina bifida. Milia are tiny white papules located on the forehead, nose, and cheeks. They contain sebaceous material and keratin and appear during the first week of life. They are common in neonates and do not require antibiotic treatment. Slate gray nevi are not a sign of a serious condition and will generally resolve after 2 to 3 years. They are most common in darker-skinned newborns and may be mistaken for bruising.</t>
  </si>
  <si>
    <t>The nurse is assessing an 8-year-old patient and notes that the patient's neck is hyperpigmented and has a velvety appearance. The nurse expects to find which of the following in the patient's family history?</t>
  </si>
  <si>
    <t>Adrenal hyperplasia</t>
  </si>
  <si>
    <t>Acanthosis nigricans, hyperpigmented skin with a velvety texture, is a sign of diabetes mellitus. While type 2 diabetes is not as common in childhood as type 1 diabetes, it can occur in a child with a strong family history of diabetes. Symptoms of hypothyroidism include lethargy, dry skin, and cold intolerance. Impaired fasting glucose is a manifestation of diabetes. Ambiguous genitalia is a sign of adrenal hyperplasia.</t>
  </si>
  <si>
    <t>An infant with erythema, oozing vesicles, and papules is MOST at risk for:</t>
  </si>
  <si>
    <t>Secondary infection</t>
  </si>
  <si>
    <t>Airway obstruction</t>
  </si>
  <si>
    <t>Scarring</t>
  </si>
  <si>
    <t>Loss of range of motion</t>
  </si>
  <si>
    <t>This infant has signs and symptoms of severe pruritus from atopic dermatitis. Scratching can lead to secondary infection. Severe pruritus from atopic dermatitis does not lead to airway obstruction or loss of range of motion. With proper treatment, scarring is not a risk.</t>
  </si>
  <si>
    <t>The nurse is assessing a child with small, erythematous, macular lesions on the palms of the hands and soles of the feet. The lesions are painless to touch and do not bother the child. This patient's treatment plan would include:</t>
  </si>
  <si>
    <t>Lotion to soothe the hands and feet</t>
  </si>
  <si>
    <t>Referral to an allergist</t>
  </si>
  <si>
    <t>Surgery to remove the lesions</t>
  </si>
  <si>
    <t>The patient has Janeway lesions, which are a sign of infective endocarditis. The patient's treatment plan will include intravenous antibiotics after blood cultures are drawn to pinpoint the causative agent. Janeway lesions are not an allergic reaction, so a referral to an allergist is not appropriate. The lesions cannot be removed with surgery, nor will lotion help them resolve.</t>
  </si>
  <si>
    <t>The American Academy of Pediatrics defines the clinical manifestation of a food allergy that involves growth failure as which type of reaction?</t>
  </si>
  <si>
    <t>The American Academy of Pediatrics classifies the clinical manifestations of food allergy into four different categories. Clinical manifestations of a systemic reaction are anaphylaxis and growth failure. Clinical manifestations of a gastrointestinal reaction include abdominal pain, vomiting, cramping, and diarrhea. Clinical manifestations of a respiratory reaction include cough, wheezing, rhinitis, and infiltrates. Clinical manifestations of a cutaneous reaction include urticaria, rash, and atopic dermatitis.</t>
  </si>
  <si>
    <t>When can the influenza vaccine first be administered to a child?</t>
  </si>
  <si>
    <t>At birth</t>
  </si>
  <si>
    <t>At age 6 months</t>
  </si>
  <si>
    <t>At age 1 year</t>
  </si>
  <si>
    <t>At age 2 years</t>
  </si>
  <si>
    <t>The influenza vaccine can be administered the first time at age 6 months. Children being vaccinated for the first time should receive two doses of the vaccine spaced 4 weeks apart and then receive the vaccine annually thereafter.</t>
  </si>
  <si>
    <t>Which of the following is a contraindication for the live attenuated influenza vaccine (LAIV) nasal spray?</t>
  </si>
  <si>
    <t>Age younger than 4 years</t>
  </si>
  <si>
    <t>History of diabetes mellitus</t>
  </si>
  <si>
    <t>History of pneumonia</t>
  </si>
  <si>
    <t>Current aspirin therapy</t>
  </si>
  <si>
    <t>The LAIV nasal spray is approved for administration in individuals age 2 to 49 years. This preparation contains a live virus and should not be used in individuals who are immunocompromised or are receiving immunosuppressants, have asthma, have a febrile illness, are receiving aspirin therapy, have a chronic respiratory condition, have received a live vaccine in the previous 28 days, are or could be pregnant, or have a history of Guillain-Barre syndrome. History of pneumonia or diabetes mellitus is not a contraindication for the vaccine.</t>
  </si>
  <si>
    <t>Which type of immunity occurs when the immune system makes antibodies after exposure to a disease?</t>
  </si>
  <si>
    <t>Naturally acquired active immunity</t>
  </si>
  <si>
    <t>Naturally acquired passive immunity</t>
  </si>
  <si>
    <t>Artificially acquired active immunity</t>
  </si>
  <si>
    <t>Artificially acquired passive immunity</t>
  </si>
  <si>
    <t>Naturally acquired active immunity occurs when the immune system makes antibodies after exposure to a disease. Naturally acquired passive immunity occurs when antibodies to a disease are received passively and naturally (e.g., mother-to-fetus transmission). In artificially acquired active immunity, ingested or injected medically engineered substances stimulate the immune response against specific diseases. Artificially acquired passive immunity occurs when infected antibodies provide immunity without stimulating an immune response.</t>
  </si>
  <si>
    <t>Which of the following vaccines should be recommended to a pregnant patient to provide immunity to the infant?</t>
  </si>
  <si>
    <t>Mumps</t>
  </si>
  <si>
    <t>Influenza</t>
  </si>
  <si>
    <t>Naturally acquired passive immunity results from mother-to-fetus transmission of maternal antibodies. Receiving the influenza vaccine during pregnancy helps prevent influenza in the infant until the infant is able to receive the vaccine at age 6 months. Varicella, mumps, and polio vaccines are not recommended during pregnancy.</t>
  </si>
  <si>
    <t>Which of the following is an inactivated vaccine?</t>
  </si>
  <si>
    <t>Diptheria</t>
  </si>
  <si>
    <t>Hepatitis C</t>
  </si>
  <si>
    <t>An inactivated vaccine stimulates a weaker immune response than a live vaccine, necessitating frequent boosters. An inactivated vaccine does not promote replication and provides 40% to 70% protection. Examples of inactivated vaccines include diphtheria and tetanus toxoids, inactivated poliovirus, pertussis, and hepatitis B vaccines. Varicella and MMR (measles, mumps, rubella) are attenuated vaccines. There is no vaccine for hepatitis C.</t>
  </si>
  <si>
    <t>The nurse administers the Rotarix vaccine to a 2-month-old patient. The nurse will administer the next dose at age:</t>
  </si>
  <si>
    <t>6 months</t>
  </si>
  <si>
    <t>1 year</t>
  </si>
  <si>
    <t>9 months</t>
  </si>
  <si>
    <t>Rotarix is a monovalent, human, live attenuated rotavirus vaccine. It is indicated for the prevention of rotavirus gastroenteritis. Rotarix is administered in two doses at ages 2 and 4 months. RotaTeq is also a vaccine that is used to prevent rotavirus gastroenteritis. It is administered in three doses at the ages of 2 months, 4 months, and 6 months.</t>
  </si>
  <si>
    <t>During a well-child visit, the parent of an 8-year-old female patient requests that the child be given the human papillomavirus (HPV) vaccination. What is the nurse's BEST response?</t>
  </si>
  <si>
    <t>"Routine vaccination is recommended at age 11 to 12 years, but if you suspect that your child will engage in sexual contact before then, the vaccine can be administered at age 10 years."</t>
  </si>
  <si>
    <t>"Routine vaccination is recommended at age 13 to 14 years, but if you suspect that your child will engage in sexual contact before then, the vaccine can be administered at age 9 years."</t>
  </si>
  <si>
    <t>"Routine vaccination is recommended at age 11 to 12 years, but if you suspect that your child will engage in sexual activity before then, the vaccine can be administered at age 9 years."</t>
  </si>
  <si>
    <t>"Routine vaccination is recommended at age 13 to 14 years, but if you suspect that your child will engage in sexual contact before then, the first dose can be administered at age 10 years."</t>
  </si>
  <si>
    <t>The HPV vaccine is most effective when it is administered prior to sexual contact and potential exposure to HPV. It is recommended for routine vaccination at age 11 or 12 years; however, it can be started at age 9 years. If a child has been sexually active prior to vaccination, they should still receive the vaccine because it provides protection against various strains of HPV. Two doses of HPV vaccine are recommended for most patients starting the series before their 15th birthday. The second dose of HPV vaccine should be given 6 to 12 months after the first dose. Adolescents who receive two doses less than 5 months apart will require a third dose of HPV vaccine. Three doses of HPV vaccine are recommended for teenagers and young adults who start the series at age 15 to 26 years and for immunocompromised persons.</t>
  </si>
  <si>
    <t>The nurse is assessing a 1-year-old patient with second-degree burn wounds on the back. The parent tells the nurse that the child pulled a pot of boiling water off the stove, and it splashed onto the child’s back. The nurse's BEST action is to:</t>
  </si>
  <si>
    <t>Teach the parent how to care for the wounds</t>
  </si>
  <si>
    <t>Educate the parent on turning pot handles away from the child’s reach</t>
  </si>
  <si>
    <t>Instruct the parent that they should not leave the child unattended in the kitchen</t>
  </si>
  <si>
    <t>Alert the local authorities to suspected abuse</t>
  </si>
  <si>
    <t>The nurse should understand the nature of the burn wounds and match it with the story being told. A 1-year-old infant is learning how to walk and is typically not tall enough to reach the top of a stove. It should also be noted that the burn wounds are on the child’s back, yet the parent states that the child pulled the pot off the stove. The burn wound locations are not consistent with the story provided. The nurse should contact child protective services and local authorities to report abuse.</t>
  </si>
  <si>
    <t>A parent drops their child off at a new daycare facility and informs a staff member that the child suffers from epilepsy and needs to take medication every 6 hours to prevent seizures. Over time, the staff member notices that the child never has a seizure while in their care, even when the child does not receive the medication at the appropriate times. The daycare worker is concerned that the child might be a victim of:</t>
  </si>
  <si>
    <t>Munchausen syndrome</t>
  </si>
  <si>
    <t>Munchausen syndrome by proxy</t>
  </si>
  <si>
    <t>Schizophrenia</t>
  </si>
  <si>
    <t>Bipolar disorder</t>
  </si>
  <si>
    <t>Munchausen syndrome by proxy (MSP) is a psychological disorder marked by attention-seeking behavior by a caregiver enacted through those who are in their care. MSP is a relatively rare behavioral disorder. The caregiver with MSP gains attention by seeking medical help for exaggerated or fabricated symptoms of a child in their care. As healthcare providers strive to identify what is causing the child's symptoms, the deliberate actions of the parent or caregiver can often make the symptoms worse. MSP is usually suspected when the child does not suffer from ailments in the presence of others but seems to always be ill while in the care of the caretaker. Munchausen syndrome occurs when an individual fakes their own illness or injury for attention. There are no indications that the child has a mental disorder such as schizophrenia or bipolar disorder.</t>
  </si>
  <si>
    <t>The nurse is educating a 13-year-old patient who was recently diagnosed with hypothyroidism. Which of the following statements made by the patient indicates that they understand how and when to take their medication?</t>
  </si>
  <si>
    <t>"I should take my medication at bedtime on an empty stomach."</t>
  </si>
  <si>
    <t>"I should take my medication with food."</t>
  </si>
  <si>
    <t>"I should take my medication three times a day."</t>
  </si>
  <si>
    <t>"I should take my medication in the morning on an empty stomach."</t>
  </si>
  <si>
    <t>Medication for hypothyroidism should be taken in the early morning and on an empty stomach to promote absorption and minimize drug-level fluctuations. It should not be taken with food. The medication is dosed as a once-daily regimen.</t>
  </si>
  <si>
    <t>The nurse is taking a health history of a 9-year-old patient with complaints of excessive thirst and frequent urination. When the nurse asks the patient when the symptoms first appeared, the patient's parent states, "It was about 6 months ago. I remember because it was right around the time we were in a car crash." The nurse recognizes that the patient will require:</t>
  </si>
  <si>
    <t>Insulin therapy for life</t>
  </si>
  <si>
    <t>Oral metformin</t>
  </si>
  <si>
    <t>Vasopressin</t>
  </si>
  <si>
    <t>Rest and fluids</t>
  </si>
  <si>
    <t>The nurse should recognize that the patient likely has diabetes insipidus and will require vasopressin treatment. Diabetes insipidus is often confused with diabetes mellitus, but the conditions are different. Diabetes insipidus is a disorder that causes an imbalance of fluids in the body. It can occur as a result of trauma (e.g., motor vehicle crash), genetics, medications, or autoimmune dysfunctions. It usually presents with polyuria and polydipsia. Insulin therapy is used to treat diabetes mellitus type 1, and oral metformin is used to treat diabetes mellitus type 2. Rest and fluids are not adequate to treat diabetes insipidus.</t>
  </si>
  <si>
    <t>The nurse is caring for a patient just admitted due to a traumatic injury. How often should the nurse record vital signs and pulse oximetry readings?</t>
  </si>
  <si>
    <t>Every 5 minutes for 1 hour and then every 15 minutes for the first hour of treatment</t>
  </si>
  <si>
    <t>Every 5 minutes for 1 hour and then every 15 minutes for the next hour</t>
  </si>
  <si>
    <t>Every 5 minutes until the patient is stable and then every 15 minutes for the next hour</t>
  </si>
  <si>
    <t>Every 5 minutes until the patient is stable and then every 15 minutes for the first hour of treatment</t>
  </si>
  <si>
    <t>Vital signs and pulse oximetry readings should be measured continuously and recorded every 5 minutes until the patient is stable and then every 15 minutes for the first hour of treatment.</t>
  </si>
  <si>
    <t>The nurse is providing discharge instructions for the parents of a patient post thyroidectomy. The nurse should educate the parents to recognize which of the following signs and symptoms of a life-threatening condition?</t>
  </si>
  <si>
    <t>Hypocalcemia, hyperkalemia, and hypertension</t>
  </si>
  <si>
    <t>Goiter, tachycardia, and diaphoresis</t>
  </si>
  <si>
    <t>Stridor, hoarseness, and tightness in throat</t>
  </si>
  <si>
    <t>Hypothyroidism, Chvostek sign, and stridor</t>
  </si>
  <si>
    <t>Laryngospasm can be potentially life-threatening during the postoperative period of a thyroidectomy; therefore, the parents should be educated to recognize signs of stridor, hoarseness, and tightness of the throat. A goiter is associated with hyperthyroidism when the thyroid has not been removed. Diaphoresis is not a medical emergency. Hypocalcemia and hyperkalemia are not medical emergencies, nor are they expected side effects after surgery. Hypothyroidism can occur post thyroidectomy, but it is not a life-threatening complication. Chvostek sign is not an indicator of a life-threatening complication of thyroidectomy.</t>
  </si>
  <si>
    <t>The nurse is reviewing the laboratory results of a 3-year-old patient with suspected celiac disease. The patient’s hemoglobin level is slightly below normal. Which additional lab value would be used to confirm the diagnosis?</t>
  </si>
  <si>
    <t>Reticulocytes</t>
  </si>
  <si>
    <t>Mean corpuscular volume</t>
  </si>
  <si>
    <t>Celiac disease is associated with iron deficiency and other types of anemia. Mean corpuscular volume is an indicator of the average size of the red blood cells, which is affected in various anemias. The patient’s mean corpuscular volume will be assessed in concert with the low hemoglobin levels to confirm diagnosis and determine the appropriate course of treatment. Hematocrit, reticulocytes, and white blood cell count are not used to diagnose celiac disease.</t>
  </si>
  <si>
    <t>The nurse notes asymmetry in the leg folds of an infant. The nurse’s next BEST action is to perform which of the following?</t>
  </si>
  <si>
    <t>Ortolani maneuver</t>
  </si>
  <si>
    <t>Lachman sign</t>
  </si>
  <si>
    <t>McMurray test</t>
  </si>
  <si>
    <t>The Ortolani maneuver test is used to detect developmental dysplasia of the hip in an infant. To perform the test, the clinician’s hands are placed over the infants’s knees with thumbs on the medial thigh and fingers placing a gentle upward stress on the lateral thigh and greater trochanter area. With slow abduction, a dislocated and reducible hip will reduce with a palpable “clunk.” The Moro reflex, or “startle reflex,” is performed by holding the infant’s head and shoulders off the mat with the arms held in flexion on the chest. The nurse then suddenly lets the head and shoulders drop back a few inches while releasing the arms. The Lachman sign determines anterior cruciate ligament damage of the knee. The McMurray test is used to evaluate for tears in the meniscus of the knee.</t>
  </si>
  <si>
    <t>Which of the following MOST accurately describes the clinical presentation of impetigo?</t>
  </si>
  <si>
    <t>Lesions filled with pus</t>
  </si>
  <si>
    <t>Superficial area of local edema</t>
  </si>
  <si>
    <t>White plaques in the throat</t>
  </si>
  <si>
    <t>Pinpoint area of purple or red in the skin</t>
  </si>
  <si>
    <t>Impetigo is a superficial skin infection caused by gram-positive bacteria. Pustules, the primary lesions of impetigo, are pus-filled lesions. A wheal is a superficial area of localized edema. White plaques in the throat are associated with candidiasis (thrush). Pinpoint areas of bleeding (purple or red) in the skin are petechiae.</t>
  </si>
  <si>
    <t>A typically developing 24-month-old patient would be expected to:</t>
  </si>
  <si>
    <t>Jump on both feet</t>
  </si>
  <si>
    <t>Draw big circles</t>
  </si>
  <si>
    <t>Say two- to four-word sentences</t>
  </si>
  <si>
    <t>Turn knobs</t>
  </si>
  <si>
    <t>A typically developing 24-month-old child would be expected to walk up and down stairs, climb up and down furniture, use both hands to build a tower from blocks or other toys, scribble on paper, turn knobs, and ask "Why?" questions. A 30-month-old child can jump using both feet, draw big circles, and say two- to four-word sentences.</t>
  </si>
  <si>
    <t>The MOST reliable method to prevent sexually transmitted infections is:</t>
  </si>
  <si>
    <t>Consistent condom use</t>
  </si>
  <si>
    <t>Abstinence</t>
  </si>
  <si>
    <t>Engaging in oral sex only</t>
  </si>
  <si>
    <t>Human papillomavirus (HPV) vaccination</t>
  </si>
  <si>
    <t>The most reliable way to avoid sexually transmitted infection is to abstain from anal, vaginal, and oral sex. Consistent condom use substantially decreases, but does not completely eliminate, risk. Infections can be transmitted orally, in addition to vaginally and anally. The HPV vaccination provides protection for HPV but not for other sexually transmitted infections.</t>
  </si>
  <si>
    <t>Which of the following is recommended for diarrhea management?</t>
  </si>
  <si>
    <t>Chicken broth</t>
  </si>
  <si>
    <t>BRAT diet</t>
  </si>
  <si>
    <t>Lemon-lime soda</t>
  </si>
  <si>
    <t>Oral rehydration solution</t>
  </si>
  <si>
    <t>The American Academy of Pediatrics, World Health Organization, and Centers for Disease Control and Prevention recommend oral rehydration solution to manage diarrhea. Oral rehydration solution enhances and promotes the resorption of sodium and water, reducing vomiting, volume loss from diarrhea, and duration of illness. The BRAT (bananas, rice, applesauce, toast) diet is contraindicated for children, especially infants, with acute diarrhea because it is low in fat and protein and low in electrolytes. Carbonated soft drinks such as lemon-lime soda are not recommended due to their low electrolyte content and high osmolality. Chicken broth should also be avoided due to its excessive sodium.</t>
  </si>
  <si>
    <t>When introducing new foods to an infant, it is best to wait how many days between new foods to assess for allergic reaction?</t>
  </si>
  <si>
    <t>1 to 3</t>
  </si>
  <si>
    <t>7 to 9</t>
  </si>
  <si>
    <t>When introducing new foods to an infant, it is best to wait 3 to 5 days between new foods. This will allow enough time to assess for potential allergic reaction and ensure that the food that caused the reaction is properly identified.</t>
  </si>
  <si>
    <t>Which of the following is the BEST method to administer oral rehydration solution to a toddler?</t>
  </si>
  <si>
    <t>In a full sippy cup</t>
  </si>
  <si>
    <t>In a bottle</t>
  </si>
  <si>
    <t>In a 5-mL syringe</t>
  </si>
  <si>
    <t>In a cup with a straw</t>
  </si>
  <si>
    <t>Oral rehydration solution should be administered to a toddler at frequent intervals and in small amounts. It is best administered with a spoon or a small syringe in 5- to 10-mL increments every 1 to 5 minutes.</t>
  </si>
  <si>
    <t>The child is admitted from their pediatrician's office with acute mastoiditis. The nurse should FIRST:</t>
  </si>
  <si>
    <t>Collect cultures from ear drainage</t>
  </si>
  <si>
    <t>Secure consent from the child's parents</t>
  </si>
  <si>
    <t>Nothing; mastoiditis generally resolves on its own</t>
  </si>
  <si>
    <t>A culture and sensitivity should first be taken from the ear drainage to ensure that the treatment targets the infectious organism. Mastoiditis will not resolve on its own and requires treatment with antibiotics. Intravenous access will be established after the cultures are obtained. Parents sign consent for treatment prior to admission to the hospital.</t>
  </si>
  <si>
    <t>While assessing a 15-day-old patient, the nurse notes bilateral mucopurulent discharge, eyelid erythema, and edema. The nurse recognizes that the newborn is at risk for which of the following complications?</t>
  </si>
  <si>
    <t>Keratoconjunctivitis</t>
  </si>
  <si>
    <t>Chemical conjunctivitis</t>
  </si>
  <si>
    <t>Immunosuppression</t>
  </si>
  <si>
    <t>The nurse suspects chlamydial conjunctivitis, which, if not treated properly, may lead to pneumonia. Other complications include otitis media, rhinitis, sepsis, or perforation of the cornea. Keratoconjunctivitis is a possible complication from herpetic conjunctivitis. Chemical conjunctivitis, or toxic pink eye, is a condition caused by smoke, liquids, fumes, or chemicals in the eye. Immunosuppression occurs with the administration of certain medications.</t>
  </si>
  <si>
    <t>The nurse is educating the parents of a patient with conjunctivitis on how to prevent the spread of infection. Which of the following statements from the parents indicates that the teaching has been effective?</t>
  </si>
  <si>
    <t>"The bacteria cannot transfer to different surfaces."</t>
  </si>
  <si>
    <t>"Gently rubbing the infected eye promotes healing."</t>
  </si>
  <si>
    <t>"Our child can use the same washcloth every day."</t>
  </si>
  <si>
    <t>"We should change pillowcases daily and wash our hands."</t>
  </si>
  <si>
    <t>Pink eye, or conjunctivitis, is easily spread through touching the affected eye and sharing towels or bedding. To help prevent spread, the infected individual should not touch their eye, bedding should be changed daily, good hand hygiene should be practiced, and a new washcloth and towel should be used each time the face is washed.</t>
  </si>
  <si>
    <t>A child with a slipped capital femoral epiphysis would be expected to present with:</t>
  </si>
  <si>
    <t>Pain in the affected hip</t>
  </si>
  <si>
    <t>Pain in the knee, hip, groin, or thigh</t>
  </si>
  <si>
    <t>Pain and swelling in the affected hip</t>
  </si>
  <si>
    <t>Redness, swelling, and pain above the knee of the affected side</t>
  </si>
  <si>
    <t>A patient with slipped capital femoral epiphysis will often present with pain in the knee, groin, hip, or thigh and perhaps a limp. The severity of the limp depends on the severity of the slip. Redness and swelling would suggest a different cause.</t>
  </si>
  <si>
    <t>Which type of healthcare service can a minor typically consent to without parental notification?</t>
  </si>
  <si>
    <t>Dental cleaning</t>
  </si>
  <si>
    <t>Routine vaccination</t>
  </si>
  <si>
    <t>Sexually transmitted infection testing</t>
  </si>
  <si>
    <t>Treatment for a broken finger</t>
  </si>
  <si>
    <t>All 50 U.S. states allow minors to seek testing and treatment for sexually transmitted infections without parental notification, although some states require that minors be at least 14 years old to do so. However, many states require parental consent for other medical care that is not emergency in nature unless the minor is emancipated or does not otherwise depend on an adult for housing and financial support. This includes procedures such as routine vaccinations, bone fracture treatments, and even dental cleanings. Healthcare providers should be cognizant of state-specific regulations and guidelines related to minors' rights to healthcare.</t>
  </si>
  <si>
    <t>Consent</t>
  </si>
  <si>
    <t>The parents of a 10-year-old patient have just been informed about a recommended treatment for their child. The physician has explained the procedure, as well as the risks, benefits, and alternatives, but the parents seem hesitant and ask the nurse, “Do we really have to do this?” What is the most appropriate response from the nurse?</t>
  </si>
  <si>
    <t>“Yes, you do. This procedure is essential for your child's health.”</t>
  </si>
  <si>
    <t>“It is ultimately your choice. I recommend discussing your concerns with the physician.”</t>
  </si>
  <si>
    <t>“If you do not consent to treatment, we will not be able to help your child any further.”</t>
  </si>
  <si>
    <t>“Most parents in your situation agree to treatment.”</t>
  </si>
  <si>
    <t>Informed consent centers on the principle of patient autonomy. Providers should ensure that patients and/or their guardians understand a procedure’s risks, benefits, and alternatives, but the decision always rests with the patient or their guardian. The nurse should encourage open communication and informed decision-making while respecting this autonomy. Although the treatment is recommended, telling the parents that they must agree to it does not respect their autonomy and might be perceived as coercive. Stating that the healthcare teams will not be able to help the patient further if the parents do not agree to the treatment may also be perceived as coercive. What “most parents” decide should not influence the individual decision-making process of any particular family. Each family's choice should be respected and should be based on their understanding of and feelings about the situation.</t>
  </si>
  <si>
    <t>Refusal of care</t>
  </si>
  <si>
    <t>A 16-year-old patient comes to the clinic seeking prescription contraceptives. After the provider describes the various options, their benefits, and the potential side effects, the patient expresses interest in a specific method. The patient then informs the nurse that they are concerned about their parents “finding out” about the prescription. What is the most appropriate response from the nurse?</t>
  </si>
  <si>
    <t>“You are under the age of 18, so we must inform your parents about the prescription.”</t>
  </si>
  <si>
    <t>“Your privacy is protected, and we will not inform your parents without your consent.”</t>
  </si>
  <si>
    <t>“You should not hide this from your parents because communication is important in families.”</t>
  </si>
  <si>
    <t>“You could consider using over-the-counter methods to reduce the risk of your parents finding out.”</t>
  </si>
  <si>
    <t>Patients younger than 18 years can independently consent to reproductive health services, and their privacy regarding these services is protected by law. It is essential to reassure the patient of their rights and the confidentiality of their choices. While open communication in families is generally beneficial, making a judgment or prescribing a moral duty is not appropriate in this setting, especially when legal and medical guidelines protect the minor's autonomy in reproductive health decisions. Recommending over-the-counter methods solely to reduce the risk of the parents learning about the situation does not prioritize the patient's health and well-being, and it runs counter to the patient's preferences. Healthcare decisions should be based on medical appropriateness and the patient's informed choice, not on potential parental reactions.</t>
  </si>
  <si>
    <t>GPT_DA</t>
  </si>
  <si>
    <t>A 10-year-old patient is about to undergo an elective procedure performed in the clinic by a physician. Prior to the procedure, the nurse witnesses the physician explaining the procedure to the patient and parents, and the nurse overhears the parents expressing a desire to proceed before they leave the treatment room. However, the nurse notices that there is no signed informed consent form. What action will the nurse take?</t>
  </si>
  <si>
    <t>Ask one of the parents to sign the form before the patient is discharged</t>
  </si>
  <si>
    <t>Have the patient sign the form before the procedure begins</t>
  </si>
  <si>
    <t>Ask the physician to delay the procedure while the nurse obtains signatures from the parents</t>
  </si>
  <si>
    <t>Remind the physician of the need to obtain parental signature prior to the procedure</t>
  </si>
  <si>
    <t xml:space="preserve">Obtaining and documenting informed consent from a parent or legal guardian is a critical legal and ethical requirement before proceeding with any elective procedure. Although the physician has already explained the procedure, and the parents appear willing to proceed, the lack of a signed consent form is a significant oversight that must be corrected prior to the procedure. The nurse's most appropriate action is to remind the physician of the need to secure the parental signature, ensuring that the legal and ethical standards for informed consent are met. Waiting until discharge does not rectify the immediate need for consent. A 10-year-old patient cannot legally provide informed consent. The task of obtaining signatures does not lie with the nurse. Since the physician is performing the procedure, the responsibility lies with them. </t>
  </si>
  <si>
    <t>During a routine well visit for a 6-year-old patient, the nurse determines that the patient has not received a second dose of the varicella vaccine. The patient record documents that the physician has previously discussed the benefits of immunization but that the patient’s parent refused the vaccine based on spiritual beliefs. What is the most appropriate initial action for the nurse to take?</t>
  </si>
  <si>
    <t>Continue the exam without mentioning immunization since the parent previously refused it</t>
  </si>
  <si>
    <t>Mention that the patient is eligible to receive the vaccine to determine the parent’s current preferences and understanding</t>
  </si>
  <si>
    <t>Explain to the parent that forgoing immunization means that the patient is receiving inadequate care</t>
  </si>
  <si>
    <t>Contact child protective services, since the parent’s refusal suggests potential neglect</t>
  </si>
  <si>
    <t>The nurse can promote open communication by informing the parent that the patient is eligible for the vaccine and determining if the parent has changed their mind or their understanding since the prior visit. This approach respects the parent's previously stated spiritual beliefs and provides an opportunity for education and discussion without coercion. Not mentioning the vaccine avoids open dialogue and leaves the nurse unaware of the parent’s current thinking. Telling the parent that their beliefs will result in inadequate care of their child is confrontational and may damage the therapeutic relationship. Contacting child protective services is an extreme measure that is not warranted solely based on vaccine refusal due to spiritual beliefs.</t>
  </si>
  <si>
    <t>A 14-year-old patient with a chronic condition expresses the desire to decline a new invasive treatment, despite parental opposition. The healthcare team arranges a family meeting to explain the risks and benefits of the procedure while ensuring that the patient’s preference is heard and understood. Which ethical principle is most clearly demonstrated in this situation?</t>
  </si>
  <si>
    <t>Autonomy</t>
  </si>
  <si>
    <t>Justice</t>
  </si>
  <si>
    <t>The situation centers on the patient's right to make informed decisions about their own care, which embodies the ethical principle of autonomy. Although beneficence involves acting in the patient's best interest, the focus in this situation is not on the healthcare team determining what is best for the patient, but rather on respecting the patient’s own informed decision. Nonmaleficence is not the primary concern; while this principle emphasizes avoiding harm, this situation is more about honoring the patient’s choice rather than solely preventing harm. Justice is unrelated to the ethical issue presented, as it concerns fairness in the distribution of healthcare resources rather than individual decision-making.</t>
  </si>
  <si>
    <t>Ethical principles</t>
  </si>
  <si>
    <t>The nurse cared for a 9-year-old patient in the ICU for 2 weeks before the child was discharged for an extended stay in a recovery unit. The nurse had enjoyed a cordial relationship with the patient’s parents during their visits to the ICU and remains concerned for the child’s well-being. Which of the following actions is most appropriate by the nurse?</t>
  </si>
  <si>
    <t>Contact the parents by phone to determine if it is permissible to visit the patient in the recovery unit</t>
  </si>
  <si>
    <t>Send a follower request on one of the parents’ social media accounts to follow the patient’s progress</t>
  </si>
  <si>
    <t>Visit the parents at their home to offer a card and inexpensive gift for the patient</t>
  </si>
  <si>
    <t>Respond to contact only if the parents reach out to the nurse</t>
  </si>
  <si>
    <t>The nurse must maintain professional boundaries even after the patient has been discharged. The parents may be vulnerable and under significant stress due to their child's condition, and only they can determine what level of contact, if any, they want with the former healthcare team. Reaching out to the parents (via phone, social media, or visit) may put them in the awkward position of deciding whether to tolerate contact they do not want or to risk offending someone who cared for their child by refusing contact. Discussions with the parents may be appropriate if the parents reach out first, but even then the nurse should be careful not to violate boundaries.</t>
  </si>
  <si>
    <t>Professional boundaries</t>
  </si>
  <si>
    <t>The parents of a 12-year-old patient with a chronic, life-limiting condition approach the nurse. They have heard about advance care planning from another parent and ask about its significance for their child's situation. Which of the following is the most appropriate response by the nurse?</t>
  </si>
  <si>
    <t>“Advance care planning is really only relevant for older patients nearing the end of life.”</t>
  </si>
  <si>
    <t>“Advance care planning is about designating a healthcare proxy or power of attorney for your child.”</t>
  </si>
  <si>
    <t>“It is too early to think about advance care planning at this stage. Let’s focus on immediate treatment for your child.”</t>
  </si>
  <si>
    <t>“Advance care planning can help clarify your wishes to ensure that your child’s care aligns with your family's values.”</t>
  </si>
  <si>
    <t>Advance care planning is a process of reflection and communication in which individuals express their preferences and decisions about future healthcare, ensuring that the care provided aligns with their wishes even when they cannot communicate their decisions. In pediatrics, this process involves the parents and, when appropriate, the child, ensuring that their values and preferences are respected. Advance care planning is not exclusive to older adults. It is relevant for anyone with a life-limiting or chronic condition, regardless of age. While focusing on immediate treatment is essential, discussing future care wishes is also crucial, especially for patients with chronic or life-limiting conditions. This ensures alignment between the care provided and the patient’s and family’s values. While designating a healthcare proxy or power of attorney is a component of advance care planning, it is only one aspect. The process encompasses a broader discussion about values, goals, and preferences for future care.</t>
  </si>
  <si>
    <t>A 6-year-old patient requires a blood transfusion to treat a life-threatening anemia. The parents, due to their personal beliefs, refuse the transfusion for their child. They request alternative treatments that are less effective and carry a higher risk. Which ethical principle is being challenged?</t>
  </si>
  <si>
    <t>Veracity</t>
  </si>
  <si>
    <t>Beneficence involves actions that promote the well-being of the patient. The primary conflict is between the desire to do what is medically best for the child (administering the blood transfusion) and respecting the parents’ beliefs, which are an obstacle to what is believed to be the best care. Autonomy typically refers to the patient’s right to make decisions about their health. While the parents’ wishes are an aspect of autonomy, the main conflict is the well-being of the child versus the parents’ beliefs. Veracity involves truth-telling and honesty, and justice pertains to the fair distribution of resources and treating individuals equitably.</t>
  </si>
  <si>
    <t>A parent brings their 4-year-old child for a well visit. The parent recently lost their job and is concerned about maintaining consistent medical coverage for their child while searching for new employment. Which of the following government programs would BEST address the child’s medical needs during this transitional period?</t>
  </si>
  <si>
    <t>Children's Health Insurance Program (CHIP)</t>
  </si>
  <si>
    <t>Medicare</t>
  </si>
  <si>
    <t>Temporary Assistance for Needy Families (TANF)</t>
  </si>
  <si>
    <t>Women, Infants, and Children (WIC)</t>
  </si>
  <si>
    <t>CHIP provides health coverage to eligible children, through both Medicaid and separate CHIP programs, in families who cannot afford private medical coverage. Medicare is primarily for older adults and would not be applicable to this child. TANF provides financial assistance to families in need, but it is not specific to children's medical coverage. WIC is intended to supply nutrition assistance for low-income pregnant and postpartum people and for children up to age 5 years. It is not related to health coverage.</t>
  </si>
  <si>
    <t>Family resources</t>
  </si>
  <si>
    <t>The pediatric nurse is working in a community clinic. A parent brings their 2-year-old child for a well visit. During the visit, the parent expresses concerns about paying for their child's upcoming vaccinations and mentions having difficulty affording nutritious meals. Which of the following government program(s) would directly address both of these concerns?</t>
  </si>
  <si>
    <t>Social Security Income (SSI)</t>
  </si>
  <si>
    <t>Medicaid and Supplemental Nutrition Assistance Program (SNAP)</t>
  </si>
  <si>
    <t>Women, Infants, and Children (WIC) and Medicare</t>
  </si>
  <si>
    <t>Medicaid is a joint federal and state program that provides health coverage to people with low income, including some low-income adults, children, pregnant people, older adults, and people with disabilities. For children, it can cover services like vaccinations. SNAP offers nutrition assistance to eligible low-income individuals and families. SSI provides financial aid to older adults and to individuals with disabilities. While it may support children with disabilities, it does not directly address medical coverage or food assistance. TANF provides financial assistance to families in need, but it does not directly address medical costs like vaccinations or provide specific food assistance. WIC provides federal grants to states for supplemental foods, healthcare referrals, and nutrition education for low-income pregnant and postpartum people, and for infants and children up to age 5 years. Medicare, however, primarily serves older adults and would not cover the child's vaccinations.</t>
  </si>
  <si>
    <t>A 10-year-old child arrives at the hospital by ambulance after being struck by a car. The child has injuries that are life-threatening and will require surgical intervention. The healthcare team finds a phone number for a parent among the child’s personal belongings, but a call to that number is unanswered. What is the MOST appropriate action at this time regarding informed consent?</t>
  </si>
  <si>
    <t>Defer consent at this time and provide the necessary care</t>
  </si>
  <si>
    <t>Contact the hospital’s legal department for advice</t>
  </si>
  <si>
    <t>Contact the police for assistance in locating a guardian who can provide consent</t>
  </si>
  <si>
    <t xml:space="preserve">Have the surgeon sign the consent form on behalf of the patient </t>
  </si>
  <si>
    <t>In emergency situations where a life-threatening injury is present and the patient is a minor, the principle of implied consent allows healthcare providers to proceed with necessary treatment if waiting for explicit parental consent would jeopardize the patient's life. In this case, the child requires urgent surgical intervention after a serious accident, and attempts to contact the parent have been unsuccessful. Therefore, the most appropriate action is to defer formal consent and provide the life-saving care immediately. Continued attempts should be made to contact a parent or guardian, who should should provide informed consent for any subsequent treatment. Contacting the hospital’s legal department or the police would delay treatment, and having the surgeon sign the consent form on behalf of the patient is not legally acceptable.</t>
  </si>
  <si>
    <t>A pediatric nurse is counseling the parents of a 9-year-old patient with a progressive, life-limiting illness. They express a desire to discuss and document their wishes and preferences for their child's future care. Which of the following is the term for the comprehensive process the nurse practitioner would recommend for discussing and documenting care preferences in the pediatric setting?</t>
  </si>
  <si>
    <t>Living will</t>
  </si>
  <si>
    <t>Do-not-resuscitate order</t>
  </si>
  <si>
    <t>Advance directive</t>
  </si>
  <si>
    <t>Advance care planning</t>
  </si>
  <si>
    <t>Advance care planning is a process that encompasses a series of discussions about values, goals, and preferences for future care. It provides a comprehensive framework for discussing, understanding, and documenting care preferences. It can be specifically tailored for pediatric settings where the focus might be on both the child’s and the family’s values. A living will is a type of advance directive that outlines specific interventions a person does or does not want at the end of life. While it can be a part of advance care planning, it is more relevant to adult patients who can legally articulate their own end-of-life wishes. A do-not-resuscitate order is a medical order indicating that cardiopulmonary resuscitation should not be performed in the event of cardiac or respiratory arrest. While it might be part of a comprehensive care plan, it is not a process for discussing and documenting comprehensive care preferences. An advance directive is a legal document that specifies the type of medical treatment an individual would want or names a person to make those choices should the individual become unable to make their own decisions. While it is an essential tool in many adult settings, most pediatric patients are too young to legally consent to such a document.</t>
  </si>
  <si>
    <t>The parents of a 6-year-old patient have recently divorced, and one parent has sole custody of the child, although the non-custodial parent retains parental rights. During a routine clinic visit, the custodial parent indicates that none of the patient’s health information should be shared with the non-custodial parent. How will the nurse respond to that demand?</t>
  </si>
  <si>
    <t>Indicate that the clinic will honor the request and refuse to provide information to the non-custodial parent</t>
  </si>
  <si>
    <t>Clarify that the clinic can decline sharing information unless the non-custodial parent obtains a court order</t>
  </si>
  <si>
    <t>Inform the custodial parent that the non-custodial parent retains the right to obtain information about the patient’s care</t>
  </si>
  <si>
    <t>Indicate that staff will share information with the non-custodial parent only in the presence of the custodial parent</t>
  </si>
  <si>
    <t>Under Health Insurance Portability and Accountability Act of 1996 (HIPAA) regulations, even if one parent has sole physical custody, the non-custodial parent who retains parental rights has the legal right to access the child’s health information unless a court order explicitly restricts that access. The nurse should explain that the clinic is legally obligated to share appropriate health information with both parents. Refusing to share the information would violate the non-custodial parent's rights. The non-custodial parent retains the right to obtain information without a court order. Requiring the custodial parent's presence unreasonably restricts the non-custodial parent’s right to information.</t>
  </si>
  <si>
    <t>Confidentiality</t>
  </si>
  <si>
    <t>A nurse participating in a quality improvement project helps establish the following goal: “Patient satisfaction scores related to pain management will improve by at least 10% after implementing the new pain management protocol.” Which SMART goal component is missing from this objective?</t>
  </si>
  <si>
    <t>Specific</t>
  </si>
  <si>
    <t>Measurable</t>
  </si>
  <si>
    <t>Achievable</t>
  </si>
  <si>
    <t>Time-bound</t>
  </si>
  <si>
    <t>Goals defined using the SMART methodology must be Specfic, Measurable, Achievable, Realistic, and Time-bound. The goal provided specifies that patient satisfaction scores related to pain management will improve by at least 10% after implementing the new pain management protocol, making it both specific and measurable. The target appears achievable given the defined improvement. However, the goal does not specify a deadline or time frame by which this improvement should be achieved, which is a critical component of the SMART framework. Without a specified time period, the goal is missing the Time-bound element.</t>
  </si>
  <si>
    <t>Quality improvement</t>
  </si>
  <si>
    <t>The nurse is working with a family whose 10-year-old child has recently been diagnosed with a serious illness. Both parents have been spending several hours each day at the hospital with the patient, often bringing gifts to improve the patient’s mood. What should the parents know about the potential impact on the patient’s 8-year-old sibling?</t>
  </si>
  <si>
    <t>A child of that age lacks sufficient understanding of serious illness and so is unlikely to be impacted.</t>
  </si>
  <si>
    <t>Siblings of seriously ill children typically develop greater resilience as they develop coping strategies to deal with the new situation.</t>
  </si>
  <si>
    <t>Siblings often develop feelings of jealousy and neglect due to parental focus on the child with the illness.</t>
  </si>
  <si>
    <t>It is best to withhold information about the illness from the sibling to prevent unnecessary worry.</t>
  </si>
  <si>
    <t>Feelings of jealousy and neglect are a common psychological and emotional response among siblings of seriously ill children. When parents need to focus much of their attention on a child with an illness, any siblings may feel neglected, jealous, or resentful. It is important for social workers to help parents recognize these potential feelings so they can take steps to provide emotional support to all of their children. Children begin to grasp the concept of serious illness and death starting around age 5 years; an 8-year-old child with normal development almost certainly understands the seriousness of the situation to some degree and is likely aware of changes in family dynamics and the emotional and physical effects of their sibling’s illness. Ignoring this possibility could lead to inadequate support for the sibling. While some siblings may develop resilience over time, it is not the typical immediate response. The initial reactions are more likely to involve negative emotions such as fear, confusion, jealousy, and neglect. Resilience can develop with appropriate support and coping mechanisms, but it is not guaranteed and should not be assumed. Withholding information from the sibling can lead to confusion and increased anxiety; instead, age-appropriate communication is recommended to help them understand and cope with the situation.</t>
  </si>
  <si>
    <t>Care of the family</t>
  </si>
  <si>
    <t>A 7-year-old patient with a chronic, serious illness has been receiving inpatient care for several weeks. The parents have been spending several hours a day assisting in the care of the child and are now showing physical and emotional signs of fatigue. What is the most appropriate action for the nurse to take?</t>
  </si>
  <si>
    <t>Respect professional boundaries by allowing the parents to manage their own emotional and physical challenges</t>
  </si>
  <si>
    <t>Help the parents understand that the healthcare team can provide all the support the patient needs</t>
  </si>
  <si>
    <t>Inform the parents that caregiver stress is common and they will eventually adapt</t>
  </si>
  <si>
    <t>Request a referral to social work to provide information about respite care</t>
  </si>
  <si>
    <t>A referral to social work for information about respite care is an effective and appropriate intervention that can help provide the family with temporary relief, reduce caregiver burnout, and support the overall well-being of both the patient and the parents. Providing the parents with access to this information is an aspect of caring for the family, which falls within the nurse’s professional role; it is not a boundary violation. While the healthcare team can provide the professional care the patient requires, the presence and participation of the parents is valuable for all family members. It is inappropriate to suggest the parents do not play a role. While caregiver stress is common, it is inappropriate to suggest that the parents should or will adapt to it when there are means available to help alleviate that stress.</t>
  </si>
  <si>
    <t>The nurse is performing a literature search as part of their role as a member of a quality improvement committee. When reviewing information, what study would the nurse recognize as being at the top of the hierarchy of research evidence?</t>
  </si>
  <si>
    <t>Case-control study</t>
  </si>
  <si>
    <t>Systematic review with meta-analysis</t>
  </si>
  <si>
    <t>Cross-sectional study</t>
  </si>
  <si>
    <t>Case report</t>
  </si>
  <si>
    <t>In the hierarchy of research evidence, a systematic review with meta-analysis is considered to offer the most robust evidence regarding intervention effectiveness. This is because it aggregates data from multiple randomized controlled trials (RCTs), offering a comprehensive overview and analysis of existing evidence. A case-control study is an observational method that investigates potential risk factors or associations but does not provide evidence of causality like RCTs do. A cross-sectional study examines data at a specific point in time, assessing prevalence but not cause-effect relationships. A case report simply details the medical history of a single patient or a small group and, while valuable for unique or rare conditions, does not offer the high level of evidence of broader studies.</t>
  </si>
  <si>
    <t>The pediatric nurse is working in a tertiary care hospital. A 10-year-old patient with a terminal illness is reaching the final stages of their disease. The parents express a desire for their child to be as comfortable as possible and wonder if moving their child to a home setting might be beneficial. They ask the nurse about hospice care and its relevance for their child. Which of the following is the most appropriate response?</t>
  </si>
  <si>
    <t>“You may have difficulty caring for your child in the home setting.”</t>
  </si>
  <si>
    <t>“I'll connect you with our pediatric hospice team to discuss further.”</t>
  </si>
  <si>
    <t>“You should consider hospice care only when all treatment options have been exhausted.”</t>
  </si>
  <si>
    <t>“Hospice care emphasizes comfort, but the hospital offers a more comprehensive range of services.”</t>
  </si>
  <si>
    <t>Hospice care emphasizes palliative care, aiming to provide comfort, pain management, and the highest quality of life possible for those with terminal illnesses. It is not about giving up, but rather about ensuring that the patient's remaining time is as meaningful and comfortable as possible. Pediatric hospice care teams have specialized knowledge to address the unique needs of children and their families. Care in the home setting can present challenges, but pediatric hospice services exist and cater specifically to the needs of children and their families. Hospice care is not a “last resort”; it is a specialized form of care for those with terminal illness. While it is considered when curative treatments are unavailable or are no longer effective, its primary focus is on comfort and quality of life. While both hospital care and hospice care have their advantages, the decision to choose hospice care should be based on the child's needs and the goals of care, rather than on a general idea of “comprehensiveness.”</t>
  </si>
  <si>
    <t>An 8-year-old patient has a progressive and terminal illness, and the medical team believes that the patient has only a few weeks to live. The parents, although devastated, have not discussed the prognosis with their child. They approach the nurse, asking for guidance. Which of the following is the most appropriate response?</t>
  </si>
  <si>
    <t>“It is best if the medical team discusses this with your child.”</t>
  </si>
  <si>
    <t>“You should tell your child immediately so they can prepare.”</t>
  </si>
  <si>
    <t>“Let’s arrange a meeting with a pediatric palliative care specialist.”</t>
  </si>
  <si>
    <t>"Children are not able to understand death, so it is better not to discuss it.”</t>
  </si>
  <si>
    <t>A pediatric palliative care specialist has the training and experience to provide guidance in these situations. They can help facilitate a sensitive conversation about end-of-life care and decisions, ensuring that the child’s and the parents’ emotional, psychological, and medical needs are met. While the medical team plays a crucial role in the care of the child, the intimate nature of such a conversation might be better suited for the parents to handle. However, they should be given appropriate guidance and support. It is essential to communicate with the child, but the timing and approach should be carefully considered. An abrupt disclosure would not be the most compassionate or effective approach. Many children have a deeper understanding and awareness of their situations than adults may realize. It is important to approach the topic with sensitivity and respect for the child's capacity to comprehend, rather than to make assumptions about their understanding.</t>
  </si>
  <si>
    <t>All SMEs</t>
  </si>
  <si>
    <t>Recall
(Planned)</t>
  </si>
  <si>
    <t>Application
(Planned)</t>
  </si>
  <si>
    <t>Reasoning
(Planned)</t>
  </si>
  <si>
    <t>In SME review</t>
  </si>
  <si>
    <t>In revision</t>
  </si>
  <si>
    <t>Total</t>
  </si>
  <si>
    <t>Gastrointestinal System</t>
  </si>
  <si>
    <t>Genitourinary and Renal System</t>
  </si>
  <si>
    <t>Head, Eyes, Ears, Nose, and Throat</t>
  </si>
  <si>
    <t>Health Promotion, Screening, and Disease Prevention</t>
  </si>
  <si>
    <t>Hematopoietic System</t>
  </si>
  <si>
    <t>Integumentary System</t>
  </si>
  <si>
    <t>Nervous System</t>
  </si>
  <si>
    <t>Pharmacology</t>
  </si>
  <si>
    <t>Professional Role</t>
  </si>
  <si>
    <t>Psychiatric-Mental Health</t>
  </si>
  <si>
    <t>Reproductive System</t>
  </si>
  <si>
    <t>Writer</t>
  </si>
  <si>
    <t>Ready for CDE</t>
  </si>
  <si>
    <t>Final</t>
  </si>
  <si>
    <t>Review of 4e Practice Test Items</t>
  </si>
  <si>
    <t>Review of 5e Knowledge Check Items</t>
  </si>
  <si>
    <t>Topic</t>
  </si>
  <si>
    <t>Practice Test items from 4e
(from Items tab)</t>
  </si>
  <si>
    <t>Teri Berry</t>
  </si>
  <si>
    <t>Amber Dortch</t>
  </si>
  <si>
    <t>Katherine Glass</t>
  </si>
  <si>
    <t>Tiffany Glass</t>
  </si>
  <si>
    <t>Knowledge Check items for 5e</t>
  </si>
  <si>
    <t>Remaining to assign</t>
  </si>
  <si>
    <t>Louise Comer</t>
  </si>
  <si>
    <t>Kathleen Andresen</t>
  </si>
  <si>
    <t>Crystal Lane-Tillerson</t>
  </si>
  <si>
    <t>Kris Louque - REASSIGN</t>
  </si>
  <si>
    <t>Christie Cavallo</t>
  </si>
  <si>
    <t>Nan Pritchard</t>
  </si>
  <si>
    <t>Portia Thomas</t>
  </si>
  <si>
    <t>SME 1</t>
  </si>
  <si>
    <t>Assigned total</t>
  </si>
  <si>
    <t>Assigned Recall</t>
  </si>
  <si>
    <t>Assigned App.</t>
  </si>
  <si>
    <t>Assigned Analysis</t>
  </si>
  <si>
    <t>Actual total</t>
  </si>
  <si>
    <t>Actual Recall</t>
  </si>
  <si>
    <t>Actual App.</t>
  </si>
  <si>
    <t>Actual Analysis</t>
  </si>
  <si>
    <t>App.</t>
  </si>
  <si>
    <t>Facilitate_Learning</t>
  </si>
  <si>
    <t>Implement a variety of active teaching and learning strategies appropriate to content/concepts</t>
  </si>
  <si>
    <t>Implement a variety of active teaching and learning strategies appropriate to setting</t>
  </si>
  <si>
    <t>Implement a variety of active teaching and learning strategies appropriate to learner attributes and needs</t>
  </si>
  <si>
    <t>Implement a variety of active teaching and learning strategies appropriate to learner outcomes</t>
  </si>
  <si>
    <t>Implement a variety of active teaching and learning strategies appropriate to method of delivery</t>
  </si>
  <si>
    <t>Use teaching and learning strategies based on education theories</t>
  </si>
  <si>
    <t>Use teaching and learning strategies based on evidence-based practices related to education</t>
  </si>
  <si>
    <t>Modify teaching strategies and learning experiences based on consideration of learners' diversity</t>
  </si>
  <si>
    <t>Modify teaching strategies and learning experiences based on consideration of learners' social determinants of learning (i.e., physical health, psychosocial health, economic stability, physical environment, social environment, and self- motivation)</t>
  </si>
  <si>
    <t>Modify teaching strategies and learning experiences based on consideration of learners' past clinical, educational, and life experiences</t>
  </si>
  <si>
    <t>Use technologies to support the teaching-learning process</t>
  </si>
  <si>
    <t>Communicate effectively to convey ideas in a variety of contexts</t>
  </si>
  <si>
    <t>Model reflective thinking practices</t>
  </si>
  <si>
    <t>Create opportunities for learners to develop clinical judgment</t>
  </si>
  <si>
    <t>Ensure a positive and safe learning environment</t>
  </si>
  <si>
    <t>Model attributes that facilitate learning (e.g., caring, confidence, patience, integrity, respect, flexibility, resilience, enthusiasm)</t>
  </si>
  <si>
    <t>Develop and maintain effective working relationships with healthcare and education partners</t>
  </si>
  <si>
    <t>Apply concepts of evidence-based practice in nursing to guide teaching</t>
  </si>
  <si>
    <t>Facilitate_Learner_Development_and_Socialization</t>
  </si>
  <si>
    <t>Identify learner attributes and needs based on consideration of learners' diversity</t>
  </si>
  <si>
    <t>Identify learner attributes and needs based on consideration of learners' social determinants of learning (i.e., physical health, psychosocial health, economic stability, physical environment, social environment, and self- motivation)</t>
  </si>
  <si>
    <t>Identify learner attributes and needs based on consideration of learners' past clinical, educational, and life experiences</t>
  </si>
  <si>
    <t>Facilitate access to various resources to support diverse learners</t>
  </si>
  <si>
    <t>Assist learners to identify and develop a plan to meet professional goals</t>
  </si>
  <si>
    <t>Facilitate learners’ self-reflection, goal setting, and socialization to the role of the nurse</t>
  </si>
  <si>
    <t>Engage learners in thoughtful and constructive self and peer evaluation</t>
  </si>
  <si>
    <t>Promote professional development of learners</t>
  </si>
  <si>
    <t>`</t>
  </si>
  <si>
    <t>Use_Assessment_and_Evaluation_Strategies</t>
  </si>
  <si>
    <t>Design and apply formative and summative evaluation strategies</t>
  </si>
  <si>
    <t>Implement evidence-based assessment and evaluation strategies in these learning domains: cognitive</t>
  </si>
  <si>
    <t>Implement evidence-based assessment and evaluation strategies in these learning domains: psychomotor</t>
  </si>
  <si>
    <t>Implement evidence-based assessment and evaluation strategies in these learning domains: affective</t>
  </si>
  <si>
    <t>Evaluate available methods for learner assessment and evaluation</t>
  </si>
  <si>
    <t>Create assessment methods to evaluate outcomes</t>
  </si>
  <si>
    <t>Implement evaluation methods that are congruent with learner and learning outcomes</t>
  </si>
  <si>
    <t>Analyze assessment and evaluation data</t>
  </si>
  <si>
    <t>Apply assessment and evaluation data to enhance the teaching-learning process</t>
  </si>
  <si>
    <t>Inform learners about assessment and evaluation criteria</t>
  </si>
  <si>
    <t>Provide timely, constructive, and thoughtful feedback to learners</t>
  </si>
  <si>
    <t>Participate_in_Curriculum_Design_and_Evaluation_of_Program_Outcomes</t>
  </si>
  <si>
    <t>Provide input for the development of nursing program standards and policies regarding admission</t>
  </si>
  <si>
    <t>Provide input for the development of nursing program standards and policies regarding progression and retention</t>
  </si>
  <si>
    <t>Provide input for the development of nursing program standards and policies regarding graduation</t>
  </si>
  <si>
    <t>Demonstrate knowledge of curriculum development including developing program outcomes and/or competency statements</t>
  </si>
  <si>
    <t>Demonstrate knowledge of curriculum development including writing content objectives and course outcomes</t>
  </si>
  <si>
    <t>Demonstrate knowledge of curriculum development including selecting learning activities and clinical experiences consistent with course outcomes</t>
  </si>
  <si>
    <t>Demonstrate knowledge of curriculum development including designing evaluation strategies consistent with course and program outcomes</t>
  </si>
  <si>
    <t>Design the curriculum to reflect institutional philosophy and mission</t>
  </si>
  <si>
    <t>Design the curriculum to reflect current nursing and healthcare trends</t>
  </si>
  <si>
    <t>Design the curriculum to reflect community, clinical partners, and societal needs</t>
  </si>
  <si>
    <t>Design the curriculum to reflect nursing principles, standards, theory, and research</t>
  </si>
  <si>
    <t>Design the curriculum to reflect educational principles, theory, research, and innovation</t>
  </si>
  <si>
    <t>Design the curriculum to reflect use of technology</t>
  </si>
  <si>
    <t>Design the curriculum to reflect mode of educational delivery</t>
  </si>
  <si>
    <t>Lead the development of curriculum design</t>
  </si>
  <si>
    <t>Lead the development of course design</t>
  </si>
  <si>
    <t>Design program evaluation that promotes continuous quality improvement</t>
  </si>
  <si>
    <t>Implement the program evaluation plan</t>
  </si>
  <si>
    <t>Analyze results of program evaluation</t>
  </si>
  <si>
    <t>Revise the curriculum based on evaluation of program outcomes</t>
  </si>
  <si>
    <t>Revise the curriculum based on evaluation of learner needs</t>
  </si>
  <si>
    <t>Revise the curriculum based on evaluation of societal and health care trends</t>
  </si>
  <si>
    <t>Revise the curriculum based on evaluation of stakeholder feedback (e.g., learners, agency personnel, accrediting agencies, advisory boards, community and clinical partners)</t>
  </si>
  <si>
    <t>Implement curricular revisions using change theories and evidence-based strategies</t>
  </si>
  <si>
    <t>Evaluate the program evaluation plan</t>
  </si>
  <si>
    <t>Function_as_a_Change_Agent_and_Leader</t>
  </si>
  <si>
    <t>Evaluate organizational effectiveness to determine needed change</t>
  </si>
  <si>
    <t>Adapt to changes created by external factors</t>
  </si>
  <si>
    <t>Create a culture for change within the nursing program and institution</t>
  </si>
  <si>
    <t>Design, implement, and evaluate strategies for change</t>
  </si>
  <si>
    <t>Model principles of diversity, equity, and inclusivity when advocating for change</t>
  </si>
  <si>
    <t>Serve as a leader to promote nursing and nursing education</t>
  </si>
  <si>
    <t>Facilitate interprofessional education and collaboration to impact health and educational outcomes</t>
  </si>
  <si>
    <t>Advocate for nursing, nursing education, and higher education</t>
  </si>
  <si>
    <t>Manage conflict effectively</t>
  </si>
  <si>
    <t>Pursue_Continuous_Quality_Improvement_in_the_Academic_Nurse_Educator_Role</t>
  </si>
  <si>
    <t>Participate actively in professional nursing and educational organizations</t>
  </si>
  <si>
    <t>Demonstrate a commitment to lifelong learning</t>
  </si>
  <si>
    <t>Use feedback gained from self, peer, learner, and administrative evaluation to improve role effectiveness</t>
  </si>
  <si>
    <t>Stay current with legal practices and ethical codes relevant to nursing and educational settings</t>
  </si>
  <si>
    <t>Remain informed with healthcare policy relevant to nursing and educational settings</t>
  </si>
  <si>
    <t>Seek mentors for professional development in the academic nurse educator role</t>
  </si>
  <si>
    <t>Engage in self-reflection and self-care to improve teaching practices</t>
  </si>
  <si>
    <t>Engage_in_Scholarship</t>
  </si>
  <si>
    <t>Foster a culture of scholarly inquiry</t>
  </si>
  <si>
    <t>Demonstrate qualities of a scholar: integrity, courage, perseverance, vitality, and creativity</t>
  </si>
  <si>
    <t>Design and implement scholarly activities</t>
  </si>
  <si>
    <t>Disseminate the outcomes of scholarly activities</t>
  </si>
  <si>
    <t>Function_within_the_Organizational_Environment_and_the_Academic_Community</t>
  </si>
  <si>
    <t>Analyze the impact of social, technological, economic, political, and institutional factors on nursing and higher education</t>
  </si>
  <si>
    <t>Apply knowledge of historical and current trends and issues to decision making in nursing and higher education</t>
  </si>
  <si>
    <t>Integrate the values of civility, collegiality, professionalism, and caring to build an organizational climate that fosters the development of learners and colleagues</t>
  </si>
  <si>
    <t>Demonstrate support of diversity, equity, and inclusion initiatives to align with the organization’s mission and vision</t>
  </si>
  <si>
    <t>Incorporate the mission and goals of the nursing program and the parent institution when managing issues</t>
  </si>
  <si>
    <t>Manage the teaching, scholarship, and service demands congruent with the requirements of the institutional setting</t>
  </si>
  <si>
    <t>Serve as a leader in governance and activities within the nursing program and/or the parent institution</t>
  </si>
  <si>
    <t>Use social media in a manner consistent with professional and institutional guidelines</t>
  </si>
  <si>
    <t>Provide input into the budgetary processes of the program and parent institution</t>
  </si>
  <si>
    <t>Maintain professional role boundaries as an educator</t>
  </si>
  <si>
    <t>Seek opportunities to mentor and support faculty colleagues to optimize role of an academic nurse educator</t>
  </si>
  <si>
    <t>Participate in the development of policies and procedures related to learners, faculty, and the educational environment</t>
  </si>
  <si>
    <t>Workflow step</t>
  </si>
  <si>
    <t>Second submission</t>
  </si>
  <si>
    <t>CDE</t>
  </si>
  <si>
    <t>Third submission</t>
  </si>
  <si>
    <t>Production</t>
  </si>
  <si>
    <t>Chapter Number</t>
  </si>
  <si>
    <t>2</t>
  </si>
  <si>
    <t>The nurse is caring for a child with intussusception who has just passed brown stool. Which of the following is MOST likely true regarding this patient's status?</t>
  </si>
  <si>
    <t>Unique ID Number</t>
  </si>
  <si>
    <t>Item Number in Chapter</t>
  </si>
  <si>
    <t>81</t>
  </si>
  <si>
    <t>The nurse is educating a new parent who plans to exclusively breastfeed the infant. The infant will require supplementation with which of the following?</t>
  </si>
  <si>
    <t>Item Type (Practice Question or Test Question?)</t>
  </si>
  <si>
    <t>Test</t>
  </si>
  <si>
    <r>
      <t xml:space="preserve">What is the STRONGEST </t>
    </r>
    <r>
      <rPr>
        <i/>
        <sz val="11"/>
        <color theme="1"/>
        <rFont val="Calibri"/>
        <family val="2"/>
        <scheme val="minor"/>
      </rPr>
      <t>outcome</t>
    </r>
    <r>
      <rPr>
        <sz val="11"/>
        <color theme="1"/>
        <rFont val="Calibri"/>
        <family val="2"/>
        <scheme val="minor"/>
      </rPr>
      <t xml:space="preserve"> predictor for submersion injuries?</t>
    </r>
  </si>
  <si>
    <r>
      <t>Allergy to which of the following H</t>
    </r>
    <r>
      <rPr>
        <vertAlign val="subscript"/>
        <sz val="11"/>
        <color theme="1"/>
        <rFont val="Calibri"/>
        <family val="2"/>
        <scheme val="minor"/>
      </rPr>
      <t>2</t>
    </r>
    <r>
      <rPr>
        <sz val="11"/>
        <color theme="1"/>
        <rFont val="Calibri"/>
        <family val="2"/>
        <scheme val="minor"/>
      </rPr>
      <t xml:space="preserve">O is a true </t>
    </r>
    <r>
      <rPr>
        <b/>
        <sz val="11"/>
        <color theme="1"/>
        <rFont val="Calibri"/>
        <family val="2"/>
        <scheme val="minor"/>
      </rPr>
      <t>contraindication</t>
    </r>
    <r>
      <rPr>
        <sz val="11"/>
        <color theme="1"/>
        <rFont val="Calibri"/>
        <family val="2"/>
        <scheme val="minor"/>
      </rPr>
      <t xml:space="preserve"> to the measles, mumps, and rubella (MMR) vaccine?</t>
    </r>
  </si>
</sst>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1"/>
      <color rgb="FF0070C0"/>
      <name val="Calibri"/>
      <family val="2"/>
      <scheme val="minor"/>
    </font>
    <font>
      <b/>
      <sz val="14"/>
      <color rgb="FF0070C0"/>
      <name val="Calibri"/>
      <family val="2"/>
      <scheme val="minor"/>
    </font>
    <font>
      <b/>
      <sz val="14"/>
      <color theme="1"/>
      <name val="Calibri"/>
      <family val="2"/>
      <scheme val="minor"/>
    </font>
    <font>
      <sz val="11"/>
      <name val="Calibri"/>
      <family val="2"/>
      <scheme val="minor"/>
    </font>
    <font>
      <b/>
      <sz val="11"/>
      <color rgb="FF000000"/>
      <name val="Calibri"/>
      <family val="2"/>
      <scheme val="minor"/>
    </font>
    <font>
      <b/>
      <sz val="18"/>
      <color theme="1"/>
      <name val="Calibri"/>
      <family val="2"/>
      <scheme val="minor"/>
    </font>
    <font>
      <sz val="11"/>
      <color rgb="FF000000"/>
      <name val="Calibri"/>
      <family val="2"/>
      <scheme val="minor"/>
    </font>
    <font>
      <i/>
      <sz val="11"/>
      <color rgb="FF000000"/>
      <name val="Calibri"/>
      <family val="2"/>
      <scheme val="minor"/>
    </font>
    <font>
      <vertAlign val="subscript"/>
      <sz val="11"/>
      <color theme="1"/>
      <name val="Calibri"/>
      <family val="2"/>
      <scheme val="minor"/>
    </font>
  </fonts>
  <fills count="12">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rgb="FFCCCCFF"/>
        <bgColor indexed="64"/>
      </patternFill>
    </fill>
    <fill>
      <patternFill patternType="solid">
        <fgColor theme="2" tint="-9.9978637043366805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style="medium">
        <color auto="1"/>
      </top>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indexed="64"/>
      </left>
      <right/>
      <top/>
      <bottom style="thin">
        <color indexed="64"/>
      </bottom>
      <diagonal/>
    </border>
  </borders>
  <cellStyleXfs count="2">
    <xf numFmtId="0" fontId="0" fillId="0" borderId="0"/>
    <xf numFmtId="0" fontId="1" fillId="0" borderId="0"/>
  </cellStyleXfs>
  <cellXfs count="114">
    <xf numFmtId="0" fontId="0" fillId="0" borderId="0" xfId="0"/>
    <xf numFmtId="0" fontId="3" fillId="0" borderId="0" xfId="0" applyFont="1" applyAlignment="1">
      <alignment wrapText="1"/>
    </xf>
    <xf numFmtId="0" fontId="4" fillId="0" borderId="0" xfId="0" applyFont="1"/>
    <xf numFmtId="0" fontId="3" fillId="0" borderId="3" xfId="0" applyFont="1" applyBorder="1" applyAlignment="1">
      <alignment wrapText="1"/>
    </xf>
    <xf numFmtId="0" fontId="2" fillId="0" borderId="1" xfId="0" applyFont="1" applyBorder="1"/>
    <xf numFmtId="0" fontId="5" fillId="0" borderId="1" xfId="0" applyFont="1" applyBorder="1"/>
    <xf numFmtId="0" fontId="0" fillId="0" borderId="1" xfId="0" applyBorder="1"/>
    <xf numFmtId="0" fontId="7" fillId="0" borderId="3" xfId="0" applyFont="1" applyBorder="1" applyAlignment="1">
      <alignment wrapText="1"/>
    </xf>
    <xf numFmtId="0" fontId="0" fillId="0" borderId="0" xfId="0" applyProtection="1">
      <protection locked="0"/>
    </xf>
    <xf numFmtId="0" fontId="3" fillId="0" borderId="0" xfId="0" applyFont="1" applyAlignment="1" applyProtection="1">
      <alignment wrapText="1"/>
      <protection locked="0"/>
    </xf>
    <xf numFmtId="0" fontId="0" fillId="0" borderId="4" xfId="0" applyBorder="1" applyProtection="1">
      <protection locked="0"/>
    </xf>
    <xf numFmtId="0" fontId="0" fillId="0" borderId="1" xfId="0" applyBorder="1" applyProtection="1">
      <protection locked="0"/>
    </xf>
    <xf numFmtId="0" fontId="0" fillId="6" borderId="1" xfId="0" applyFill="1" applyBorder="1" applyProtection="1">
      <protection locked="0"/>
    </xf>
    <xf numFmtId="0" fontId="0" fillId="3" borderId="1" xfId="0" applyFill="1" applyBorder="1" applyProtection="1">
      <protection locked="0"/>
    </xf>
    <xf numFmtId="0" fontId="0" fillId="2" borderId="1" xfId="0" applyFill="1" applyBorder="1" applyProtection="1">
      <protection locked="0"/>
    </xf>
    <xf numFmtId="0" fontId="0" fillId="8" borderId="1" xfId="0" applyFill="1" applyBorder="1" applyProtection="1">
      <protection locked="0"/>
    </xf>
    <xf numFmtId="0" fontId="0" fillId="9" borderId="1" xfId="0" applyFill="1" applyBorder="1" applyProtection="1">
      <protection locked="0"/>
    </xf>
    <xf numFmtId="0" fontId="3" fillId="7" borderId="1" xfId="0" applyFont="1" applyFill="1" applyBorder="1" applyAlignment="1">
      <alignment wrapText="1"/>
    </xf>
    <xf numFmtId="0" fontId="3" fillId="0" borderId="1" xfId="0" applyFont="1" applyBorder="1" applyAlignment="1">
      <alignment wrapText="1"/>
    </xf>
    <xf numFmtId="0" fontId="3" fillId="6" borderId="1" xfId="0" applyFont="1" applyFill="1" applyBorder="1" applyAlignment="1">
      <alignment wrapText="1"/>
    </xf>
    <xf numFmtId="0" fontId="3" fillId="3" borderId="1" xfId="0" applyFont="1" applyFill="1" applyBorder="1" applyAlignment="1">
      <alignment wrapText="1"/>
    </xf>
    <xf numFmtId="0" fontId="3" fillId="2" borderId="1" xfId="0" applyFont="1" applyFill="1" applyBorder="1" applyAlignment="1">
      <alignment wrapText="1"/>
    </xf>
    <xf numFmtId="0" fontId="3" fillId="8" borderId="1" xfId="0" applyFont="1" applyFill="1" applyBorder="1" applyAlignment="1">
      <alignment wrapText="1"/>
    </xf>
    <xf numFmtId="0" fontId="3" fillId="9" borderId="1" xfId="0" applyFont="1" applyFill="1" applyBorder="1" applyAlignment="1">
      <alignment wrapText="1"/>
    </xf>
    <xf numFmtId="0" fontId="3" fillId="10" borderId="1" xfId="0" applyFont="1" applyFill="1" applyBorder="1" applyAlignment="1">
      <alignment wrapText="1"/>
    </xf>
    <xf numFmtId="0" fontId="7" fillId="7" borderId="1" xfId="0" applyFont="1" applyFill="1" applyBorder="1"/>
    <xf numFmtId="0" fontId="7" fillId="0" borderId="1" xfId="0" applyFont="1" applyBorder="1"/>
    <xf numFmtId="0" fontId="7" fillId="6" borderId="1" xfId="0" applyFont="1" applyFill="1" applyBorder="1"/>
    <xf numFmtId="0" fontId="7" fillId="3" borderId="1" xfId="0" applyFont="1" applyFill="1" applyBorder="1"/>
    <xf numFmtId="0" fontId="7" fillId="2" borderId="1" xfId="0" applyFont="1" applyFill="1" applyBorder="1"/>
    <xf numFmtId="0" fontId="7" fillId="8" borderId="1" xfId="0" applyFont="1" applyFill="1" applyBorder="1"/>
    <xf numFmtId="0" fontId="7" fillId="9" borderId="1" xfId="0" applyFont="1" applyFill="1" applyBorder="1"/>
    <xf numFmtId="0" fontId="0" fillId="11" borderId="1" xfId="0" applyFill="1" applyBorder="1"/>
    <xf numFmtId="0" fontId="0" fillId="7" borderId="1" xfId="0" applyFill="1" applyBorder="1"/>
    <xf numFmtId="0" fontId="0" fillId="10" borderId="1" xfId="0" applyFill="1" applyBorder="1"/>
    <xf numFmtId="0" fontId="0" fillId="0" borderId="0" xfId="0" applyAlignment="1">
      <alignment wrapText="1"/>
    </xf>
    <xf numFmtId="0" fontId="3" fillId="0" borderId="0" xfId="0" applyFont="1" applyAlignment="1" applyProtection="1">
      <alignment vertical="top" wrapText="1"/>
      <protection locked="0"/>
    </xf>
    <xf numFmtId="0" fontId="0" fillId="0" borderId="0" xfId="0" applyAlignment="1" applyProtection="1">
      <alignment vertical="top" wrapText="1"/>
      <protection locked="0"/>
    </xf>
    <xf numFmtId="0" fontId="3" fillId="0" borderId="0" xfId="0" applyFont="1" applyAlignment="1">
      <alignment vertical="top" wrapText="1"/>
    </xf>
    <xf numFmtId="0" fontId="0" fillId="0" borderId="5" xfId="0" applyBorder="1"/>
    <xf numFmtId="0" fontId="3" fillId="0" borderId="7" xfId="0" applyFont="1" applyBorder="1" applyAlignment="1">
      <alignment wrapText="1"/>
    </xf>
    <xf numFmtId="0" fontId="7" fillId="0" borderId="7" xfId="0" applyFont="1" applyBorder="1" applyAlignment="1">
      <alignment wrapText="1"/>
    </xf>
    <xf numFmtId="0" fontId="0" fillId="0" borderId="8" xfId="0" applyBorder="1"/>
    <xf numFmtId="0" fontId="3" fillId="3" borderId="0" xfId="0" applyFont="1" applyFill="1" applyAlignment="1" applyProtection="1">
      <alignment vertical="top" wrapText="1"/>
      <protection locked="0"/>
    </xf>
    <xf numFmtId="0" fontId="3" fillId="8" borderId="8" xfId="0" applyFont="1" applyFill="1" applyBorder="1" applyAlignment="1">
      <alignment wrapText="1"/>
    </xf>
    <xf numFmtId="0" fontId="7" fillId="8" borderId="8" xfId="0" applyFont="1" applyFill="1" applyBorder="1"/>
    <xf numFmtId="0" fontId="0" fillId="8" borderId="8" xfId="0" applyFill="1" applyBorder="1" applyProtection="1">
      <protection locked="0"/>
    </xf>
    <xf numFmtId="0" fontId="3" fillId="9" borderId="9" xfId="0" applyFont="1" applyFill="1" applyBorder="1" applyAlignment="1">
      <alignment wrapText="1"/>
    </xf>
    <xf numFmtId="0" fontId="3" fillId="0" borderId="10" xfId="0" applyFont="1" applyBorder="1" applyAlignment="1">
      <alignment wrapText="1"/>
    </xf>
    <xf numFmtId="0" fontId="7" fillId="9" borderId="9" xfId="0" applyFont="1" applyFill="1" applyBorder="1"/>
    <xf numFmtId="0" fontId="7" fillId="0" borderId="10" xfId="0" applyFont="1" applyBorder="1"/>
    <xf numFmtId="0" fontId="0" fillId="9" borderId="9" xfId="0" applyFill="1" applyBorder="1" applyProtection="1">
      <protection locked="0"/>
    </xf>
    <xf numFmtId="0" fontId="0" fillId="0" borderId="10" xfId="0" applyBorder="1"/>
    <xf numFmtId="0" fontId="3" fillId="0" borderId="11" xfId="0" applyFont="1" applyBorder="1" applyAlignment="1">
      <alignment wrapText="1"/>
    </xf>
    <xf numFmtId="0" fontId="7" fillId="0" borderId="11" xfId="0" applyFont="1" applyBorder="1" applyAlignment="1">
      <alignment wrapText="1"/>
    </xf>
    <xf numFmtId="0" fontId="3" fillId="0" borderId="15" xfId="0" applyFont="1" applyBorder="1" applyAlignment="1">
      <alignment wrapText="1"/>
    </xf>
    <xf numFmtId="0" fontId="3" fillId="9" borderId="16" xfId="0" applyFont="1" applyFill="1" applyBorder="1" applyAlignment="1">
      <alignment wrapText="1"/>
    </xf>
    <xf numFmtId="0" fontId="7" fillId="0" borderId="15" xfId="0" applyFont="1" applyBorder="1"/>
    <xf numFmtId="0" fontId="7" fillId="9" borderId="16" xfId="0" applyFont="1" applyFill="1" applyBorder="1"/>
    <xf numFmtId="0" fontId="0" fillId="0" borderId="15" xfId="0" applyBorder="1"/>
    <xf numFmtId="0" fontId="0" fillId="9" borderId="16" xfId="0" applyFill="1" applyBorder="1" applyProtection="1">
      <protection locked="0"/>
    </xf>
    <xf numFmtId="0" fontId="0" fillId="0" borderId="17" xfId="0" applyBorder="1"/>
    <xf numFmtId="0" fontId="0" fillId="6" borderId="18" xfId="0" applyFill="1" applyBorder="1" applyProtection="1">
      <protection locked="0"/>
    </xf>
    <xf numFmtId="0" fontId="0" fillId="3" borderId="18" xfId="0" applyFill="1" applyBorder="1" applyProtection="1">
      <protection locked="0"/>
    </xf>
    <xf numFmtId="0" fontId="0" fillId="2" borderId="18" xfId="0" applyFill="1" applyBorder="1" applyProtection="1">
      <protection locked="0"/>
    </xf>
    <xf numFmtId="0" fontId="0" fillId="8" borderId="18" xfId="0" applyFill="1" applyBorder="1" applyProtection="1">
      <protection locked="0"/>
    </xf>
    <xf numFmtId="0" fontId="0" fillId="9" borderId="19" xfId="0" applyFill="1" applyBorder="1" applyProtection="1">
      <protection locked="0"/>
    </xf>
    <xf numFmtId="0" fontId="3" fillId="6" borderId="6" xfId="0" applyFont="1" applyFill="1" applyBorder="1" applyAlignment="1">
      <alignment wrapText="1"/>
    </xf>
    <xf numFmtId="0" fontId="7" fillId="6" borderId="6" xfId="0" applyFont="1" applyFill="1" applyBorder="1"/>
    <xf numFmtId="0" fontId="0" fillId="6" borderId="6" xfId="0" applyFill="1" applyBorder="1" applyProtection="1">
      <protection locked="0"/>
    </xf>
    <xf numFmtId="0" fontId="0" fillId="8" borderId="20" xfId="0" applyFill="1" applyBorder="1" applyProtection="1">
      <protection locked="0"/>
    </xf>
    <xf numFmtId="0" fontId="0" fillId="6" borderId="21" xfId="0" applyFill="1" applyBorder="1" applyProtection="1">
      <protection locked="0"/>
    </xf>
    <xf numFmtId="0" fontId="0" fillId="9" borderId="24" xfId="0" applyFill="1" applyBorder="1" applyProtection="1">
      <protection locked="0"/>
    </xf>
    <xf numFmtId="0" fontId="0" fillId="0" borderId="25" xfId="0" applyBorder="1"/>
    <xf numFmtId="0" fontId="8" fillId="0" borderId="1" xfId="0" applyFont="1" applyBorder="1"/>
    <xf numFmtId="0" fontId="8" fillId="2" borderId="1" xfId="0" applyFont="1" applyFill="1" applyBorder="1"/>
    <xf numFmtId="0" fontId="8" fillId="3" borderId="1" xfId="0" applyFont="1" applyFill="1" applyBorder="1"/>
    <xf numFmtId="0" fontId="9" fillId="3" borderId="0" xfId="0" applyFont="1" applyFill="1" applyAlignment="1" applyProtection="1">
      <alignment vertical="top" wrapText="1"/>
      <protection locked="0"/>
    </xf>
    <xf numFmtId="0" fontId="8" fillId="0" borderId="0" xfId="0" applyFont="1"/>
    <xf numFmtId="0" fontId="0" fillId="0" borderId="3" xfId="0" applyBorder="1"/>
    <xf numFmtId="0" fontId="8" fillId="0" borderId="3" xfId="0" applyFont="1" applyBorder="1"/>
    <xf numFmtId="0" fontId="0" fillId="0" borderId="34" xfId="0" applyBorder="1"/>
    <xf numFmtId="0" fontId="0" fillId="0" borderId="27"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8" xfId="0" applyBorder="1" applyAlignment="1">
      <alignment horizontal="center"/>
    </xf>
    <xf numFmtId="0" fontId="0" fillId="0" borderId="30" xfId="0" applyBorder="1" applyAlignment="1">
      <alignment horizontal="center"/>
    </xf>
    <xf numFmtId="0" fontId="0" fillId="0" borderId="33" xfId="0" applyBorder="1" applyAlignment="1">
      <alignment horizontal="center"/>
    </xf>
    <xf numFmtId="0" fontId="10" fillId="0" borderId="11" xfId="0" applyFont="1" applyBorder="1" applyAlignment="1">
      <alignment wrapText="1"/>
    </xf>
    <xf numFmtId="0" fontId="0" fillId="0" borderId="27" xfId="0" applyBorder="1" applyAlignment="1">
      <alignment horizontal="center" wrapText="1"/>
    </xf>
    <xf numFmtId="0" fontId="0" fillId="0" borderId="0" xfId="0" applyAlignment="1">
      <alignment horizontal="center" wrapText="1"/>
    </xf>
    <xf numFmtId="0" fontId="0" fillId="0" borderId="32" xfId="0" applyBorder="1" applyAlignment="1">
      <alignment horizontal="center" wrapText="1"/>
    </xf>
    <xf numFmtId="0" fontId="0" fillId="0" borderId="0" xfId="0" applyAlignment="1">
      <alignment horizontal="left" wrapText="1"/>
    </xf>
    <xf numFmtId="0" fontId="11" fillId="0" borderId="0" xfId="0" applyFont="1" applyAlignment="1">
      <alignment wrapText="1"/>
    </xf>
    <xf numFmtId="0" fontId="12" fillId="0" borderId="0" xfId="0" applyFont="1" applyAlignment="1">
      <alignment wrapText="1"/>
    </xf>
    <xf numFmtId="0" fontId="4" fillId="0" borderId="0" xfId="0" applyFont="1" applyAlignment="1">
      <alignment wrapText="1"/>
    </xf>
    <xf numFmtId="49" fontId="0" fillId="0" borderId="0" xfId="0" applyNumberFormat="1" applyAlignment="1">
      <alignment wrapText="1"/>
    </xf>
    <xf numFmtId="49" fontId="0" fillId="0" borderId="0" xfId="0" applyNumberFormat="1" applyAlignment="1">
      <alignment horizontal="left" wrapText="1"/>
    </xf>
    <xf numFmtId="0" fontId="0" fillId="0" borderId="0" xfId="0" applyAlignment="1" applyProtection="1">
      <alignment horizontal="left" wrapText="1"/>
      <protection locked="0"/>
    </xf>
    <xf numFmtId="0" fontId="0" fillId="0" borderId="0" xfId="0" applyAlignment="1" applyProtection="1">
      <alignment wrapText="1"/>
      <protection locked="0"/>
    </xf>
    <xf numFmtId="0" fontId="3" fillId="0" borderId="0" xfId="0" applyFont="1" applyAlignment="1" applyProtection="1">
      <alignment horizontal="left" vertical="top" wrapText="1"/>
      <protection locked="0"/>
    </xf>
    <xf numFmtId="0" fontId="0" fillId="7" borderId="23" xfId="0" applyFill="1" applyBorder="1" applyAlignment="1">
      <alignment horizontal="center"/>
    </xf>
    <xf numFmtId="0" fontId="0" fillId="7" borderId="13" xfId="0" applyFill="1" applyBorder="1" applyAlignment="1">
      <alignment horizontal="center"/>
    </xf>
    <xf numFmtId="0" fontId="0" fillId="7" borderId="14" xfId="0" applyFill="1" applyBorder="1" applyAlignment="1">
      <alignment horizontal="center"/>
    </xf>
    <xf numFmtId="0" fontId="0" fillId="4" borderId="12" xfId="0" applyFill="1" applyBorder="1" applyAlignment="1" applyProtection="1">
      <alignment horizontal="center"/>
      <protection locked="0"/>
    </xf>
    <xf numFmtId="0" fontId="0" fillId="4" borderId="13" xfId="0" applyFill="1" applyBorder="1" applyAlignment="1">
      <alignment horizontal="center"/>
    </xf>
    <xf numFmtId="0" fontId="0" fillId="4" borderId="22" xfId="0" applyFill="1" applyBorder="1" applyAlignment="1">
      <alignment horizontal="center"/>
    </xf>
    <xf numFmtId="0" fontId="6" fillId="5" borderId="2" xfId="0" applyFont="1" applyFill="1" applyBorder="1" applyAlignment="1">
      <alignment horizontal="center"/>
    </xf>
    <xf numFmtId="0" fontId="3" fillId="0" borderId="26" xfId="0" applyFont="1" applyBorder="1" applyAlignment="1">
      <alignment horizontal="center"/>
    </xf>
    <xf numFmtId="0" fontId="0" fillId="0" borderId="29" xfId="0" applyBorder="1" applyAlignment="1">
      <alignment horizontal="center"/>
    </xf>
    <xf numFmtId="0" fontId="0" fillId="0" borderId="31" xfId="0" applyBorder="1" applyAlignment="1">
      <alignment horizontal="center"/>
    </xf>
    <xf numFmtId="0" fontId="3" fillId="0" borderId="31" xfId="0" applyFont="1" applyBorder="1" applyAlignment="1">
      <alignment horizontal="center"/>
    </xf>
    <xf numFmtId="0" fontId="3" fillId="0" borderId="0" xfId="0" applyFont="1" applyAlignment="1">
      <alignment horizontal="center"/>
    </xf>
    <xf numFmtId="0" fontId="3" fillId="0" borderId="29" xfId="0" applyFont="1" applyBorder="1" applyAlignment="1">
      <alignment horizontal="center"/>
    </xf>
  </cellXfs>
  <cellStyles count="2">
    <cellStyle name="Normal" xfId="0" builtinId="0"/>
    <cellStyle name="Normal 2" xfId="1"/>
  </cellStyles>
  <dxfs count="40">
    <dxf>
      <fill>
        <patternFill>
          <bgColor theme="9" tint="0.79998168889431442"/>
        </patternFill>
      </fill>
    </dxf>
    <dxf>
      <fill>
        <patternFill>
          <bgColor theme="7" tint="0.79998168889431442"/>
        </patternFill>
      </fill>
    </dxf>
    <dxf>
      <fill>
        <patternFill>
          <bgColor theme="8" tint="0.79998168889431442"/>
        </patternFill>
      </fill>
    </dxf>
    <dxf>
      <fill>
        <patternFill>
          <bgColor rgb="FFFF9966"/>
        </patternFill>
      </fill>
    </dxf>
    <dxf>
      <fill>
        <patternFill>
          <bgColor rgb="FFFF9933"/>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color rgb="FFFF9966"/>
      <color rgb="FFE9AA7B"/>
      <color rgb="FFCC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2:O39"/>
  <sheetViews>
    <sheetView zoomScale="80" zoomScaleNormal="80" workbookViewId="0">
      <selection activeCell="A4" sqref="A4"/>
    </sheetView>
  </sheetViews>
  <sheetFormatPr defaultColWidth="9.140625" defaultRowHeight="15" x14ac:dyDescent="0.25"/>
  <cols>
    <col min="1" max="1" width="17.7109375" style="8" customWidth="1"/>
    <col min="2" max="2" width="41.28515625" style="8" customWidth="1"/>
    <col min="3" max="3" width="9.140625" style="8"/>
    <col min="4" max="7" width="11.42578125" style="8" customWidth="1"/>
    <col min="8" max="9" width="14" style="8" customWidth="1"/>
    <col min="10" max="13" width="13.85546875" style="8" customWidth="1"/>
    <col min="14" max="15" width="13.7109375" style="8" customWidth="1"/>
    <col min="16" max="16384" width="9.140625" style="8"/>
  </cols>
  <sheetData>
    <row r="2" spans="1:15" ht="60" x14ac:dyDescent="0.25">
      <c r="A2" s="1" t="s">
        <v>0</v>
      </c>
      <c r="B2" s="1" t="s">
        <v>1</v>
      </c>
      <c r="C2" s="9"/>
      <c r="D2" s="3" t="s">
        <v>2</v>
      </c>
      <c r="E2" s="3" t="s">
        <v>3</v>
      </c>
      <c r="F2" s="3" t="s">
        <v>4</v>
      </c>
      <c r="G2" s="3" t="s">
        <v>5</v>
      </c>
      <c r="H2" s="17" t="s">
        <v>6</v>
      </c>
      <c r="I2" s="18" t="s">
        <v>7</v>
      </c>
      <c r="J2" s="19" t="s">
        <v>8</v>
      </c>
      <c r="K2" s="20" t="s">
        <v>9</v>
      </c>
      <c r="L2" s="21" t="s">
        <v>10</v>
      </c>
      <c r="M2" s="22" t="s">
        <v>11</v>
      </c>
      <c r="N2" s="23" t="s">
        <v>12</v>
      </c>
      <c r="O2" s="24" t="s">
        <v>13</v>
      </c>
    </row>
    <row r="3" spans="1:15" ht="18.75" x14ac:dyDescent="0.3">
      <c r="A3" s="1"/>
      <c r="B3" s="1"/>
      <c r="C3" s="9"/>
      <c r="D3" s="7">
        <f>SUM(D4:D39)</f>
        <v>0</v>
      </c>
      <c r="E3" s="7">
        <f t="shared" ref="E3:N3" si="0">SUM(E4:E39)</f>
        <v>0</v>
      </c>
      <c r="F3" s="7">
        <f t="shared" si="0"/>
        <v>0</v>
      </c>
      <c r="G3" s="7">
        <f>SUM(D3:F3)</f>
        <v>0</v>
      </c>
      <c r="H3" s="25" t="e">
        <f t="shared" si="0"/>
        <v>#REF!</v>
      </c>
      <c r="I3" s="26">
        <f t="shared" si="0"/>
        <v>0</v>
      </c>
      <c r="J3" s="27">
        <f t="shared" si="0"/>
        <v>0</v>
      </c>
      <c r="K3" s="28">
        <f t="shared" si="0"/>
        <v>0</v>
      </c>
      <c r="L3" s="29">
        <f t="shared" si="0"/>
        <v>0</v>
      </c>
      <c r="M3" s="30">
        <f t="shared" si="0"/>
        <v>0</v>
      </c>
      <c r="N3" s="31">
        <f t="shared" si="0"/>
        <v>0</v>
      </c>
      <c r="O3" s="32"/>
    </row>
    <row r="4" spans="1:15" x14ac:dyDescent="0.25">
      <c r="A4" s="4" t="s">
        <v>14</v>
      </c>
      <c r="B4" s="5" t="s">
        <v>15</v>
      </c>
      <c r="C4" s="10"/>
      <c r="D4" s="11"/>
      <c r="E4" s="11"/>
      <c r="F4" s="11"/>
      <c r="G4" s="6">
        <f>SUM(D4:F4)</f>
        <v>0</v>
      </c>
      <c r="H4" s="33" t="e">
        <f>#REF!</f>
        <v>#REF!</v>
      </c>
      <c r="I4" s="6">
        <f>SUM(J4:M4)</f>
        <v>0</v>
      </c>
      <c r="J4" s="12"/>
      <c r="K4" s="13"/>
      <c r="L4" s="14"/>
      <c r="M4" s="15"/>
      <c r="N4" s="16">
        <f>G4-I4</f>
        <v>0</v>
      </c>
      <c r="O4" s="34" t="e">
        <f>H4-G4</f>
        <v>#REF!</v>
      </c>
    </row>
    <row r="5" spans="1:15" x14ac:dyDescent="0.25">
      <c r="A5" s="4" t="s">
        <v>14</v>
      </c>
      <c r="B5" s="5" t="s">
        <v>16</v>
      </c>
      <c r="C5" s="10"/>
      <c r="D5" s="11"/>
      <c r="E5" s="11"/>
      <c r="F5" s="11"/>
      <c r="G5" s="6">
        <f t="shared" ref="G5:G39" si="1">SUM(D5:F5)</f>
        <v>0</v>
      </c>
      <c r="H5" s="33" t="e">
        <f>#REF!</f>
        <v>#REF!</v>
      </c>
      <c r="I5" s="6">
        <f t="shared" ref="I5:I39" si="2">SUM(J5:M5)</f>
        <v>0</v>
      </c>
      <c r="J5" s="12"/>
      <c r="K5" s="13"/>
      <c r="L5" s="14"/>
      <c r="M5" s="15"/>
      <c r="N5" s="16"/>
      <c r="O5" s="34" t="e">
        <f t="shared" ref="O5:O39" si="3">H5-G5</f>
        <v>#REF!</v>
      </c>
    </row>
    <row r="6" spans="1:15" x14ac:dyDescent="0.25">
      <c r="A6" s="4" t="s">
        <v>14</v>
      </c>
      <c r="B6" s="5" t="s">
        <v>17</v>
      </c>
      <c r="C6" s="10"/>
      <c r="D6" s="11"/>
      <c r="E6" s="11"/>
      <c r="F6" s="11"/>
      <c r="G6" s="6">
        <f t="shared" si="1"/>
        <v>0</v>
      </c>
      <c r="H6" s="33" t="e">
        <f>#REF!</f>
        <v>#REF!</v>
      </c>
      <c r="I6" s="6">
        <f t="shared" si="2"/>
        <v>0</v>
      </c>
      <c r="J6" s="12"/>
      <c r="K6" s="13"/>
      <c r="L6" s="14"/>
      <c r="M6" s="15"/>
      <c r="N6" s="16"/>
      <c r="O6" s="34" t="e">
        <f t="shared" si="3"/>
        <v>#REF!</v>
      </c>
    </row>
    <row r="7" spans="1:15" x14ac:dyDescent="0.25">
      <c r="A7" s="4" t="s">
        <v>14</v>
      </c>
      <c r="B7" s="5" t="s">
        <v>18</v>
      </c>
      <c r="C7" s="10"/>
      <c r="D7" s="11"/>
      <c r="E7" s="11"/>
      <c r="F7" s="11"/>
      <c r="G7" s="6">
        <f t="shared" si="1"/>
        <v>0</v>
      </c>
      <c r="H7" s="33" t="e">
        <f>#REF!</f>
        <v>#REF!</v>
      </c>
      <c r="I7" s="6">
        <f t="shared" si="2"/>
        <v>0</v>
      </c>
      <c r="J7" s="12"/>
      <c r="K7" s="13"/>
      <c r="L7" s="14"/>
      <c r="M7" s="15"/>
      <c r="N7" s="16"/>
      <c r="O7" s="34" t="e">
        <f t="shared" si="3"/>
        <v>#REF!</v>
      </c>
    </row>
    <row r="8" spans="1:15" x14ac:dyDescent="0.25">
      <c r="A8" s="4" t="s">
        <v>14</v>
      </c>
      <c r="B8" s="5" t="s">
        <v>19</v>
      </c>
      <c r="C8" s="10"/>
      <c r="D8" s="11"/>
      <c r="E8" s="11"/>
      <c r="F8" s="11"/>
      <c r="G8" s="6">
        <f t="shared" si="1"/>
        <v>0</v>
      </c>
      <c r="H8" s="33" t="e">
        <f>#REF!</f>
        <v>#REF!</v>
      </c>
      <c r="I8" s="6">
        <f t="shared" si="2"/>
        <v>0</v>
      </c>
      <c r="J8" s="12"/>
      <c r="K8" s="13"/>
      <c r="L8" s="14"/>
      <c r="M8" s="15"/>
      <c r="N8" s="16"/>
      <c r="O8" s="34" t="e">
        <f t="shared" si="3"/>
        <v>#REF!</v>
      </c>
    </row>
    <row r="9" spans="1:15" x14ac:dyDescent="0.25">
      <c r="A9" s="4" t="s">
        <v>14</v>
      </c>
      <c r="B9" s="5" t="s">
        <v>20</v>
      </c>
      <c r="C9" s="10"/>
      <c r="D9" s="11"/>
      <c r="E9" s="11"/>
      <c r="F9" s="11"/>
      <c r="G9" s="6">
        <f t="shared" si="1"/>
        <v>0</v>
      </c>
      <c r="H9" s="33" t="e">
        <f>#REF!</f>
        <v>#REF!</v>
      </c>
      <c r="I9" s="6">
        <f t="shared" si="2"/>
        <v>0</v>
      </c>
      <c r="J9" s="12"/>
      <c r="K9" s="13"/>
      <c r="L9" s="14"/>
      <c r="M9" s="15"/>
      <c r="N9" s="16"/>
      <c r="O9" s="34" t="e">
        <f t="shared" si="3"/>
        <v>#REF!</v>
      </c>
    </row>
    <row r="10" spans="1:15" x14ac:dyDescent="0.25">
      <c r="A10" s="4" t="s">
        <v>21</v>
      </c>
      <c r="B10" s="5" t="s">
        <v>22</v>
      </c>
      <c r="C10" s="10"/>
      <c r="D10" s="11"/>
      <c r="E10" s="11"/>
      <c r="F10" s="11"/>
      <c r="G10" s="6">
        <f t="shared" si="1"/>
        <v>0</v>
      </c>
      <c r="H10" s="33" t="e">
        <f>#REF!</f>
        <v>#REF!</v>
      </c>
      <c r="I10" s="6">
        <f t="shared" si="2"/>
        <v>0</v>
      </c>
      <c r="J10" s="12"/>
      <c r="K10" s="13"/>
      <c r="L10" s="14"/>
      <c r="M10" s="15"/>
      <c r="N10" s="16"/>
      <c r="O10" s="34" t="e">
        <f t="shared" si="3"/>
        <v>#REF!</v>
      </c>
    </row>
    <row r="11" spans="1:15" x14ac:dyDescent="0.25">
      <c r="A11" s="4" t="s">
        <v>21</v>
      </c>
      <c r="B11" s="5" t="s">
        <v>23</v>
      </c>
      <c r="C11" s="10"/>
      <c r="D11" s="11"/>
      <c r="E11" s="11"/>
      <c r="F11" s="11"/>
      <c r="G11" s="6">
        <f t="shared" si="1"/>
        <v>0</v>
      </c>
      <c r="H11" s="33" t="e">
        <f>#REF!</f>
        <v>#REF!</v>
      </c>
      <c r="I11" s="6">
        <f t="shared" si="2"/>
        <v>0</v>
      </c>
      <c r="J11" s="12"/>
      <c r="K11" s="13"/>
      <c r="L11" s="14"/>
      <c r="M11" s="15"/>
      <c r="N11" s="16"/>
      <c r="O11" s="34" t="e">
        <f t="shared" si="3"/>
        <v>#REF!</v>
      </c>
    </row>
    <row r="12" spans="1:15" x14ac:dyDescent="0.25">
      <c r="A12" s="4" t="s">
        <v>21</v>
      </c>
      <c r="B12" s="5" t="s">
        <v>24</v>
      </c>
      <c r="C12" s="10"/>
      <c r="D12" s="11"/>
      <c r="E12" s="11"/>
      <c r="F12" s="11"/>
      <c r="G12" s="6">
        <f t="shared" si="1"/>
        <v>0</v>
      </c>
      <c r="H12" s="33" t="e">
        <f>#REF!</f>
        <v>#REF!</v>
      </c>
      <c r="I12" s="6">
        <f t="shared" si="2"/>
        <v>0</v>
      </c>
      <c r="J12" s="12"/>
      <c r="K12" s="13"/>
      <c r="L12" s="14"/>
      <c r="M12" s="15"/>
      <c r="N12" s="16"/>
      <c r="O12" s="34" t="e">
        <f t="shared" si="3"/>
        <v>#REF!</v>
      </c>
    </row>
    <row r="13" spans="1:15" x14ac:dyDescent="0.25">
      <c r="A13" s="4" t="s">
        <v>21</v>
      </c>
      <c r="B13" s="5" t="s">
        <v>25</v>
      </c>
      <c r="C13" s="10"/>
      <c r="D13" s="11"/>
      <c r="E13" s="11"/>
      <c r="F13" s="11"/>
      <c r="G13" s="6">
        <f t="shared" si="1"/>
        <v>0</v>
      </c>
      <c r="H13" s="33" t="e">
        <f>#REF!</f>
        <v>#REF!</v>
      </c>
      <c r="I13" s="6">
        <f t="shared" si="2"/>
        <v>0</v>
      </c>
      <c r="J13" s="12"/>
      <c r="K13" s="13"/>
      <c r="L13" s="14"/>
      <c r="M13" s="15"/>
      <c r="N13" s="16"/>
      <c r="O13" s="34" t="e">
        <f t="shared" si="3"/>
        <v>#REF!</v>
      </c>
    </row>
    <row r="14" spans="1:15" x14ac:dyDescent="0.25">
      <c r="A14" s="4" t="s">
        <v>21</v>
      </c>
      <c r="B14" s="5" t="s">
        <v>26</v>
      </c>
      <c r="C14" s="10"/>
      <c r="D14" s="11"/>
      <c r="E14" s="11"/>
      <c r="F14" s="11"/>
      <c r="G14" s="6">
        <f t="shared" si="1"/>
        <v>0</v>
      </c>
      <c r="H14" s="33" t="e">
        <f>#REF!</f>
        <v>#REF!</v>
      </c>
      <c r="I14" s="6">
        <f t="shared" si="2"/>
        <v>0</v>
      </c>
      <c r="J14" s="12"/>
      <c r="K14" s="13"/>
      <c r="L14" s="14"/>
      <c r="M14" s="15"/>
      <c r="N14" s="16"/>
      <c r="O14" s="34" t="e">
        <f t="shared" si="3"/>
        <v>#REF!</v>
      </c>
    </row>
    <row r="15" spans="1:15" x14ac:dyDescent="0.25">
      <c r="A15" s="4" t="s">
        <v>21</v>
      </c>
      <c r="B15" s="5" t="s">
        <v>27</v>
      </c>
      <c r="C15" s="10"/>
      <c r="D15" s="11"/>
      <c r="E15" s="11"/>
      <c r="F15" s="11"/>
      <c r="G15" s="6">
        <f t="shared" si="1"/>
        <v>0</v>
      </c>
      <c r="H15" s="33" t="e">
        <f>#REF!</f>
        <v>#REF!</v>
      </c>
      <c r="I15" s="6">
        <f t="shared" si="2"/>
        <v>0</v>
      </c>
      <c r="J15" s="12"/>
      <c r="K15" s="13"/>
      <c r="L15" s="14"/>
      <c r="M15" s="15"/>
      <c r="N15" s="16"/>
      <c r="O15" s="34" t="e">
        <f t="shared" si="3"/>
        <v>#REF!</v>
      </c>
    </row>
    <row r="16" spans="1:15" x14ac:dyDescent="0.25">
      <c r="A16" s="4" t="s">
        <v>28</v>
      </c>
      <c r="B16" s="5" t="s">
        <v>29</v>
      </c>
      <c r="C16" s="10"/>
      <c r="D16" s="11"/>
      <c r="E16" s="11"/>
      <c r="F16" s="11"/>
      <c r="G16" s="6">
        <f t="shared" si="1"/>
        <v>0</v>
      </c>
      <c r="H16" s="33" t="e">
        <f>#REF!</f>
        <v>#REF!</v>
      </c>
      <c r="I16" s="6">
        <f t="shared" si="2"/>
        <v>0</v>
      </c>
      <c r="J16" s="12"/>
      <c r="K16" s="13"/>
      <c r="L16" s="14"/>
      <c r="M16" s="15"/>
      <c r="N16" s="16"/>
      <c r="O16" s="34" t="e">
        <f t="shared" si="3"/>
        <v>#REF!</v>
      </c>
    </row>
    <row r="17" spans="1:15" x14ac:dyDescent="0.25">
      <c r="A17" s="4" t="s">
        <v>28</v>
      </c>
      <c r="B17" s="5" t="s">
        <v>30</v>
      </c>
      <c r="C17" s="10"/>
      <c r="D17" s="11"/>
      <c r="E17" s="11"/>
      <c r="F17" s="11"/>
      <c r="G17" s="6">
        <f t="shared" si="1"/>
        <v>0</v>
      </c>
      <c r="H17" s="33" t="e">
        <f>#REF!</f>
        <v>#REF!</v>
      </c>
      <c r="I17" s="6">
        <f t="shared" si="2"/>
        <v>0</v>
      </c>
      <c r="J17" s="12"/>
      <c r="K17" s="13"/>
      <c r="L17" s="14"/>
      <c r="M17" s="15"/>
      <c r="N17" s="16"/>
      <c r="O17" s="34" t="e">
        <f t="shared" si="3"/>
        <v>#REF!</v>
      </c>
    </row>
    <row r="18" spans="1:15" x14ac:dyDescent="0.25">
      <c r="A18" s="4" t="s">
        <v>28</v>
      </c>
      <c r="B18" s="5" t="s">
        <v>31</v>
      </c>
      <c r="C18" s="10"/>
      <c r="D18" s="11"/>
      <c r="E18" s="11"/>
      <c r="F18" s="11"/>
      <c r="G18" s="6">
        <f t="shared" si="1"/>
        <v>0</v>
      </c>
      <c r="H18" s="33" t="e">
        <f>#REF!</f>
        <v>#REF!</v>
      </c>
      <c r="I18" s="6">
        <f t="shared" si="2"/>
        <v>0</v>
      </c>
      <c r="J18" s="12"/>
      <c r="K18" s="13"/>
      <c r="L18" s="14"/>
      <c r="M18" s="15"/>
      <c r="N18" s="16"/>
      <c r="O18" s="34" t="e">
        <f t="shared" si="3"/>
        <v>#REF!</v>
      </c>
    </row>
    <row r="19" spans="1:15" x14ac:dyDescent="0.25">
      <c r="A19" s="4" t="s">
        <v>28</v>
      </c>
      <c r="B19" s="5" t="s">
        <v>32</v>
      </c>
      <c r="C19" s="10"/>
      <c r="D19" s="11"/>
      <c r="E19" s="11"/>
      <c r="F19" s="11"/>
      <c r="G19" s="6">
        <f t="shared" si="1"/>
        <v>0</v>
      </c>
      <c r="H19" s="33" t="e">
        <f>#REF!</f>
        <v>#REF!</v>
      </c>
      <c r="I19" s="6">
        <f t="shared" si="2"/>
        <v>0</v>
      </c>
      <c r="J19" s="12"/>
      <c r="K19" s="13"/>
      <c r="L19" s="14"/>
      <c r="M19" s="15"/>
      <c r="N19" s="16"/>
      <c r="O19" s="34" t="e">
        <f t="shared" si="3"/>
        <v>#REF!</v>
      </c>
    </row>
    <row r="20" spans="1:15" x14ac:dyDescent="0.25">
      <c r="A20" s="4" t="s">
        <v>28</v>
      </c>
      <c r="B20" s="5" t="s">
        <v>33</v>
      </c>
      <c r="C20" s="10"/>
      <c r="D20" s="11"/>
      <c r="E20" s="11"/>
      <c r="F20" s="11"/>
      <c r="G20" s="6">
        <f t="shared" si="1"/>
        <v>0</v>
      </c>
      <c r="H20" s="33" t="e">
        <f>#REF!</f>
        <v>#REF!</v>
      </c>
      <c r="I20" s="6">
        <f t="shared" si="2"/>
        <v>0</v>
      </c>
      <c r="J20" s="12"/>
      <c r="K20" s="13"/>
      <c r="L20" s="14"/>
      <c r="M20" s="15"/>
      <c r="N20" s="16"/>
      <c r="O20" s="34" t="e">
        <f t="shared" si="3"/>
        <v>#REF!</v>
      </c>
    </row>
    <row r="21" spans="1:15" x14ac:dyDescent="0.25">
      <c r="A21" s="4" t="s">
        <v>28</v>
      </c>
      <c r="B21" s="5" t="s">
        <v>34</v>
      </c>
      <c r="C21" s="10"/>
      <c r="D21" s="11"/>
      <c r="E21" s="11"/>
      <c r="F21" s="11"/>
      <c r="G21" s="6">
        <f t="shared" si="1"/>
        <v>0</v>
      </c>
      <c r="H21" s="33" t="e">
        <f>#REF!</f>
        <v>#REF!</v>
      </c>
      <c r="I21" s="6">
        <f t="shared" si="2"/>
        <v>0</v>
      </c>
      <c r="J21" s="12"/>
      <c r="K21" s="13"/>
      <c r="L21" s="14"/>
      <c r="M21" s="15"/>
      <c r="N21" s="16"/>
      <c r="O21" s="34" t="e">
        <f t="shared" si="3"/>
        <v>#REF!</v>
      </c>
    </row>
    <row r="22" spans="1:15" x14ac:dyDescent="0.25">
      <c r="A22" s="4" t="s">
        <v>35</v>
      </c>
      <c r="B22" s="5" t="s">
        <v>36</v>
      </c>
      <c r="C22" s="10"/>
      <c r="D22" s="11"/>
      <c r="E22" s="11"/>
      <c r="F22" s="11"/>
      <c r="G22" s="6">
        <f t="shared" si="1"/>
        <v>0</v>
      </c>
      <c r="H22" s="33" t="e">
        <f>#REF!</f>
        <v>#REF!</v>
      </c>
      <c r="I22" s="6">
        <f t="shared" si="2"/>
        <v>0</v>
      </c>
      <c r="J22" s="12"/>
      <c r="K22" s="13"/>
      <c r="L22" s="14"/>
      <c r="M22" s="15"/>
      <c r="N22" s="16"/>
      <c r="O22" s="34" t="e">
        <f t="shared" si="3"/>
        <v>#REF!</v>
      </c>
    </row>
    <row r="23" spans="1:15" x14ac:dyDescent="0.25">
      <c r="A23" s="4" t="s">
        <v>35</v>
      </c>
      <c r="B23" s="5" t="s">
        <v>37</v>
      </c>
      <c r="C23" s="10"/>
      <c r="D23" s="11"/>
      <c r="E23" s="11"/>
      <c r="F23" s="11"/>
      <c r="G23" s="6">
        <f t="shared" si="1"/>
        <v>0</v>
      </c>
      <c r="H23" s="33" t="e">
        <f>#REF!</f>
        <v>#REF!</v>
      </c>
      <c r="I23" s="6">
        <f t="shared" si="2"/>
        <v>0</v>
      </c>
      <c r="J23" s="12"/>
      <c r="K23" s="13"/>
      <c r="L23" s="14"/>
      <c r="M23" s="15"/>
      <c r="N23" s="16"/>
      <c r="O23" s="34" t="e">
        <f t="shared" si="3"/>
        <v>#REF!</v>
      </c>
    </row>
    <row r="24" spans="1:15" x14ac:dyDescent="0.25">
      <c r="A24" s="4" t="s">
        <v>35</v>
      </c>
      <c r="B24" s="5" t="s">
        <v>38</v>
      </c>
      <c r="C24" s="10"/>
      <c r="D24" s="11"/>
      <c r="E24" s="11"/>
      <c r="F24" s="11"/>
      <c r="G24" s="6">
        <f t="shared" si="1"/>
        <v>0</v>
      </c>
      <c r="H24" s="33" t="e">
        <f>#REF!</f>
        <v>#REF!</v>
      </c>
      <c r="I24" s="6">
        <f t="shared" si="2"/>
        <v>0</v>
      </c>
      <c r="J24" s="12"/>
      <c r="K24" s="13"/>
      <c r="L24" s="14"/>
      <c r="M24" s="15"/>
      <c r="N24" s="16"/>
      <c r="O24" s="34" t="e">
        <f t="shared" si="3"/>
        <v>#REF!</v>
      </c>
    </row>
    <row r="25" spans="1:15" x14ac:dyDescent="0.25">
      <c r="A25" s="4" t="s">
        <v>35</v>
      </c>
      <c r="B25" s="5" t="s">
        <v>39</v>
      </c>
      <c r="C25" s="10"/>
      <c r="D25" s="11"/>
      <c r="E25" s="11"/>
      <c r="F25" s="11"/>
      <c r="G25" s="6">
        <f t="shared" si="1"/>
        <v>0</v>
      </c>
      <c r="H25" s="33" t="e">
        <f>#REF!</f>
        <v>#REF!</v>
      </c>
      <c r="I25" s="6">
        <f t="shared" si="2"/>
        <v>0</v>
      </c>
      <c r="J25" s="12"/>
      <c r="K25" s="13"/>
      <c r="L25" s="14"/>
      <c r="M25" s="15"/>
      <c r="N25" s="16"/>
      <c r="O25" s="34" t="e">
        <f t="shared" si="3"/>
        <v>#REF!</v>
      </c>
    </row>
    <row r="26" spans="1:15" x14ac:dyDescent="0.25">
      <c r="A26" s="4" t="s">
        <v>35</v>
      </c>
      <c r="B26" s="5" t="s">
        <v>40</v>
      </c>
      <c r="C26" s="10"/>
      <c r="D26" s="11"/>
      <c r="E26" s="11"/>
      <c r="F26" s="11"/>
      <c r="G26" s="6">
        <f t="shared" si="1"/>
        <v>0</v>
      </c>
      <c r="H26" s="33" t="e">
        <f>#REF!</f>
        <v>#REF!</v>
      </c>
      <c r="I26" s="6">
        <f t="shared" si="2"/>
        <v>0</v>
      </c>
      <c r="J26" s="12"/>
      <c r="K26" s="13"/>
      <c r="L26" s="14"/>
      <c r="M26" s="15"/>
      <c r="N26" s="16"/>
      <c r="O26" s="34" t="e">
        <f t="shared" si="3"/>
        <v>#REF!</v>
      </c>
    </row>
    <row r="27" spans="1:15" x14ac:dyDescent="0.25">
      <c r="A27" s="4" t="s">
        <v>35</v>
      </c>
      <c r="B27" s="5" t="s">
        <v>41</v>
      </c>
      <c r="C27" s="10"/>
      <c r="D27" s="11"/>
      <c r="E27" s="11"/>
      <c r="F27" s="11"/>
      <c r="G27" s="6">
        <f t="shared" si="1"/>
        <v>0</v>
      </c>
      <c r="H27" s="33" t="e">
        <f>#REF!</f>
        <v>#REF!</v>
      </c>
      <c r="I27" s="6">
        <f t="shared" si="2"/>
        <v>0</v>
      </c>
      <c r="J27" s="12"/>
      <c r="K27" s="13"/>
      <c r="L27" s="14"/>
      <c r="M27" s="15"/>
      <c r="N27" s="16"/>
      <c r="O27" s="34" t="e">
        <f t="shared" si="3"/>
        <v>#REF!</v>
      </c>
    </row>
    <row r="28" spans="1:15" x14ac:dyDescent="0.25">
      <c r="A28" s="4" t="s">
        <v>42</v>
      </c>
      <c r="B28" s="5" t="s">
        <v>43</v>
      </c>
      <c r="C28" s="10"/>
      <c r="D28" s="11"/>
      <c r="E28" s="11"/>
      <c r="F28" s="11"/>
      <c r="G28" s="6">
        <f t="shared" si="1"/>
        <v>0</v>
      </c>
      <c r="H28" s="33" t="e">
        <f>#REF!</f>
        <v>#REF!</v>
      </c>
      <c r="I28" s="6">
        <f t="shared" si="2"/>
        <v>0</v>
      </c>
      <c r="J28" s="12"/>
      <c r="K28" s="13"/>
      <c r="L28" s="14"/>
      <c r="M28" s="15"/>
      <c r="N28" s="16"/>
      <c r="O28" s="34" t="e">
        <f t="shared" si="3"/>
        <v>#REF!</v>
      </c>
    </row>
    <row r="29" spans="1:15" x14ac:dyDescent="0.25">
      <c r="A29" s="4" t="s">
        <v>42</v>
      </c>
      <c r="B29" s="5" t="s">
        <v>44</v>
      </c>
      <c r="C29" s="10"/>
      <c r="D29" s="11"/>
      <c r="E29" s="11"/>
      <c r="F29" s="11"/>
      <c r="G29" s="6">
        <f t="shared" si="1"/>
        <v>0</v>
      </c>
      <c r="H29" s="33" t="e">
        <f>#REF!</f>
        <v>#REF!</v>
      </c>
      <c r="I29" s="6">
        <f t="shared" si="2"/>
        <v>0</v>
      </c>
      <c r="J29" s="12"/>
      <c r="K29" s="13"/>
      <c r="L29" s="14"/>
      <c r="M29" s="15"/>
      <c r="N29" s="16"/>
      <c r="O29" s="34" t="e">
        <f t="shared" si="3"/>
        <v>#REF!</v>
      </c>
    </row>
    <row r="30" spans="1:15" x14ac:dyDescent="0.25">
      <c r="A30" s="4" t="s">
        <v>42</v>
      </c>
      <c r="B30" s="5" t="s">
        <v>45</v>
      </c>
      <c r="C30" s="10"/>
      <c r="D30" s="11"/>
      <c r="E30" s="11"/>
      <c r="F30" s="11"/>
      <c r="G30" s="6">
        <f t="shared" si="1"/>
        <v>0</v>
      </c>
      <c r="H30" s="33" t="e">
        <f>#REF!</f>
        <v>#REF!</v>
      </c>
      <c r="I30" s="6">
        <f t="shared" si="2"/>
        <v>0</v>
      </c>
      <c r="J30" s="12"/>
      <c r="K30" s="13"/>
      <c r="L30" s="14"/>
      <c r="M30" s="15"/>
      <c r="N30" s="16"/>
      <c r="O30" s="34" t="e">
        <f t="shared" si="3"/>
        <v>#REF!</v>
      </c>
    </row>
    <row r="31" spans="1:15" x14ac:dyDescent="0.25">
      <c r="A31" s="4" t="s">
        <v>42</v>
      </c>
      <c r="B31" s="5" t="s">
        <v>46</v>
      </c>
      <c r="C31" s="10"/>
      <c r="D31" s="11"/>
      <c r="E31" s="11"/>
      <c r="F31" s="11"/>
      <c r="G31" s="6">
        <f t="shared" si="1"/>
        <v>0</v>
      </c>
      <c r="H31" s="33" t="e">
        <f>#REF!</f>
        <v>#REF!</v>
      </c>
      <c r="I31" s="6">
        <f t="shared" si="2"/>
        <v>0</v>
      </c>
      <c r="J31" s="12"/>
      <c r="K31" s="13"/>
      <c r="L31" s="14"/>
      <c r="M31" s="15"/>
      <c r="N31" s="16"/>
      <c r="O31" s="34" t="e">
        <f t="shared" si="3"/>
        <v>#REF!</v>
      </c>
    </row>
    <row r="32" spans="1:15" x14ac:dyDescent="0.25">
      <c r="A32" s="4" t="s">
        <v>42</v>
      </c>
      <c r="B32" s="5" t="s">
        <v>47</v>
      </c>
      <c r="C32" s="10"/>
      <c r="D32" s="11"/>
      <c r="E32" s="11"/>
      <c r="F32" s="11"/>
      <c r="G32" s="6">
        <f t="shared" si="1"/>
        <v>0</v>
      </c>
      <c r="H32" s="33" t="e">
        <f>#REF!</f>
        <v>#REF!</v>
      </c>
      <c r="I32" s="6">
        <f t="shared" si="2"/>
        <v>0</v>
      </c>
      <c r="J32" s="12"/>
      <c r="K32" s="13"/>
      <c r="L32" s="14"/>
      <c r="M32" s="15"/>
      <c r="N32" s="16"/>
      <c r="O32" s="34" t="e">
        <f t="shared" si="3"/>
        <v>#REF!</v>
      </c>
    </row>
    <row r="33" spans="1:15" x14ac:dyDescent="0.25">
      <c r="A33" s="4" t="s">
        <v>42</v>
      </c>
      <c r="B33" s="5" t="s">
        <v>48</v>
      </c>
      <c r="C33" s="10"/>
      <c r="D33" s="11"/>
      <c r="E33" s="11"/>
      <c r="F33" s="11"/>
      <c r="G33" s="6">
        <f t="shared" si="1"/>
        <v>0</v>
      </c>
      <c r="H33" s="33" t="e">
        <f>#REF!</f>
        <v>#REF!</v>
      </c>
      <c r="I33" s="6">
        <f t="shared" si="2"/>
        <v>0</v>
      </c>
      <c r="J33" s="12"/>
      <c r="K33" s="13"/>
      <c r="L33" s="14"/>
      <c r="M33" s="15"/>
      <c r="N33" s="16"/>
      <c r="O33" s="34" t="e">
        <f t="shared" si="3"/>
        <v>#REF!</v>
      </c>
    </row>
    <row r="34" spans="1:15" x14ac:dyDescent="0.25">
      <c r="A34" s="4" t="s">
        <v>49</v>
      </c>
      <c r="B34" s="5" t="s">
        <v>50</v>
      </c>
      <c r="C34" s="10"/>
      <c r="D34" s="11"/>
      <c r="E34" s="11"/>
      <c r="F34" s="11"/>
      <c r="G34" s="6">
        <f t="shared" si="1"/>
        <v>0</v>
      </c>
      <c r="H34" s="33" t="e">
        <f>#REF!</f>
        <v>#REF!</v>
      </c>
      <c r="I34" s="6">
        <f t="shared" si="2"/>
        <v>0</v>
      </c>
      <c r="J34" s="12"/>
      <c r="K34" s="13"/>
      <c r="L34" s="14"/>
      <c r="M34" s="15"/>
      <c r="N34" s="16"/>
      <c r="O34" s="34" t="e">
        <f t="shared" si="3"/>
        <v>#REF!</v>
      </c>
    </row>
    <row r="35" spans="1:15" x14ac:dyDescent="0.25">
      <c r="A35" s="4" t="s">
        <v>49</v>
      </c>
      <c r="B35" s="5" t="s">
        <v>51</v>
      </c>
      <c r="C35" s="10"/>
      <c r="D35" s="11"/>
      <c r="E35" s="11"/>
      <c r="F35" s="11"/>
      <c r="G35" s="6">
        <f t="shared" si="1"/>
        <v>0</v>
      </c>
      <c r="H35" s="33" t="e">
        <f>#REF!</f>
        <v>#REF!</v>
      </c>
      <c r="I35" s="6">
        <f t="shared" si="2"/>
        <v>0</v>
      </c>
      <c r="J35" s="12"/>
      <c r="K35" s="13"/>
      <c r="L35" s="14"/>
      <c r="M35" s="15"/>
      <c r="N35" s="16"/>
      <c r="O35" s="34" t="e">
        <f t="shared" si="3"/>
        <v>#REF!</v>
      </c>
    </row>
    <row r="36" spans="1:15" x14ac:dyDescent="0.25">
      <c r="A36" s="4" t="s">
        <v>49</v>
      </c>
      <c r="B36" s="5" t="s">
        <v>52</v>
      </c>
      <c r="C36" s="10"/>
      <c r="D36" s="11"/>
      <c r="E36" s="11"/>
      <c r="F36" s="11"/>
      <c r="G36" s="6">
        <f t="shared" si="1"/>
        <v>0</v>
      </c>
      <c r="H36" s="33" t="e">
        <f>#REF!</f>
        <v>#REF!</v>
      </c>
      <c r="I36" s="6">
        <f t="shared" si="2"/>
        <v>0</v>
      </c>
      <c r="J36" s="12"/>
      <c r="K36" s="13"/>
      <c r="L36" s="14"/>
      <c r="M36" s="15"/>
      <c r="N36" s="16"/>
      <c r="O36" s="34" t="e">
        <f t="shared" si="3"/>
        <v>#REF!</v>
      </c>
    </row>
    <row r="37" spans="1:15" x14ac:dyDescent="0.25">
      <c r="A37" s="4" t="s">
        <v>49</v>
      </c>
      <c r="B37" s="5" t="s">
        <v>53</v>
      </c>
      <c r="C37" s="10"/>
      <c r="D37" s="11"/>
      <c r="E37" s="11"/>
      <c r="F37" s="11"/>
      <c r="G37" s="6">
        <f t="shared" si="1"/>
        <v>0</v>
      </c>
      <c r="H37" s="33" t="e">
        <f>#REF!</f>
        <v>#REF!</v>
      </c>
      <c r="I37" s="6">
        <f t="shared" si="2"/>
        <v>0</v>
      </c>
      <c r="J37" s="12"/>
      <c r="K37" s="13"/>
      <c r="L37" s="14"/>
      <c r="M37" s="15"/>
      <c r="N37" s="16"/>
      <c r="O37" s="34" t="e">
        <f t="shared" si="3"/>
        <v>#REF!</v>
      </c>
    </row>
    <row r="38" spans="1:15" x14ac:dyDescent="0.25">
      <c r="A38" s="4" t="s">
        <v>49</v>
      </c>
      <c r="B38" s="5" t="s">
        <v>54</v>
      </c>
      <c r="C38" s="10"/>
      <c r="D38" s="11"/>
      <c r="E38" s="11"/>
      <c r="F38" s="11"/>
      <c r="G38" s="6">
        <f t="shared" si="1"/>
        <v>0</v>
      </c>
      <c r="H38" s="33" t="e">
        <f>#REF!</f>
        <v>#REF!</v>
      </c>
      <c r="I38" s="6">
        <f t="shared" si="2"/>
        <v>0</v>
      </c>
      <c r="J38" s="12"/>
      <c r="K38" s="13"/>
      <c r="L38" s="14"/>
      <c r="M38" s="15"/>
      <c r="N38" s="16"/>
      <c r="O38" s="34" t="e">
        <f t="shared" si="3"/>
        <v>#REF!</v>
      </c>
    </row>
    <row r="39" spans="1:15" x14ac:dyDescent="0.25">
      <c r="A39" s="4" t="s">
        <v>49</v>
      </c>
      <c r="B39" s="5" t="s">
        <v>55</v>
      </c>
      <c r="C39" s="10"/>
      <c r="D39" s="11"/>
      <c r="E39" s="11"/>
      <c r="F39" s="11"/>
      <c r="G39" s="6">
        <f t="shared" si="1"/>
        <v>0</v>
      </c>
      <c r="H39" s="33" t="e">
        <f>#REF!</f>
        <v>#REF!</v>
      </c>
      <c r="I39" s="6">
        <f t="shared" si="2"/>
        <v>0</v>
      </c>
      <c r="J39" s="12"/>
      <c r="K39" s="13"/>
      <c r="L39" s="14"/>
      <c r="M39" s="15"/>
      <c r="N39" s="16"/>
      <c r="O39" s="34" t="e">
        <f t="shared" si="3"/>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O601"/>
  <sheetViews>
    <sheetView tabSelected="1" zoomScale="75" zoomScaleNormal="75" workbookViewId="0">
      <pane xSplit="1" ySplit="1" topLeftCell="B2" activePane="bottomRight" state="frozen"/>
      <selection pane="topRight" activeCell="B1" sqref="B1"/>
      <selection pane="bottomLeft" activeCell="A2" sqref="A2"/>
      <selection pane="bottomRight" activeCell="F16" sqref="F16"/>
    </sheetView>
  </sheetViews>
  <sheetFormatPr defaultColWidth="9.140625" defaultRowHeight="15" x14ac:dyDescent="0.25"/>
  <cols>
    <col min="1" max="1" width="11.140625" style="35" customWidth="1"/>
    <col min="2" max="3" width="21.5703125" style="92" customWidth="1"/>
    <col min="4" max="4" width="29.5703125" style="35" customWidth="1"/>
    <col min="5" max="5" width="58.140625" style="35" customWidth="1"/>
    <col min="6" max="10" width="28.85546875" style="35" customWidth="1"/>
    <col min="11" max="11" width="11.140625" style="35" customWidth="1"/>
    <col min="12" max="12" width="66.28515625" style="35" customWidth="1"/>
    <col min="13" max="13" width="44" customWidth="1"/>
    <col min="14" max="14" width="43.42578125" style="35" hidden="1" customWidth="1"/>
    <col min="15" max="15" width="12.42578125" bestFit="1" customWidth="1"/>
    <col min="16" max="16384" width="9.140625" style="35"/>
  </cols>
  <sheetData>
    <row r="1" spans="1:15" s="37" customFormat="1" ht="30" x14ac:dyDescent="0.25">
      <c r="A1" s="36" t="s">
        <v>3684</v>
      </c>
      <c r="B1" s="100" t="s">
        <v>3681</v>
      </c>
      <c r="C1" s="100" t="s">
        <v>3685</v>
      </c>
      <c r="D1" s="36" t="s">
        <v>3688</v>
      </c>
      <c r="E1" s="77" t="s">
        <v>57</v>
      </c>
      <c r="F1" s="43" t="s">
        <v>69</v>
      </c>
      <c r="G1" s="43" t="s">
        <v>101</v>
      </c>
      <c r="H1" s="43" t="s">
        <v>82</v>
      </c>
      <c r="I1" s="43" t="s">
        <v>114</v>
      </c>
      <c r="J1" s="43" t="s">
        <v>58</v>
      </c>
      <c r="K1" s="43" t="s">
        <v>59</v>
      </c>
      <c r="L1" s="43" t="s">
        <v>60</v>
      </c>
      <c r="M1" s="38" t="s">
        <v>61</v>
      </c>
      <c r="N1" s="36" t="s">
        <v>62</v>
      </c>
      <c r="O1" s="38" t="s">
        <v>63</v>
      </c>
    </row>
    <row r="2" spans="1:15" ht="105" x14ac:dyDescent="0.25">
      <c r="A2" s="35">
        <v>1</v>
      </c>
      <c r="B2" s="92">
        <v>1</v>
      </c>
      <c r="C2" s="92">
        <v>1</v>
      </c>
      <c r="D2" s="35" t="s">
        <v>73</v>
      </c>
      <c r="E2" s="35" t="s">
        <v>3690</v>
      </c>
      <c r="F2" s="35" t="s">
        <v>65</v>
      </c>
      <c r="G2" s="35" t="s">
        <v>66</v>
      </c>
      <c r="H2" s="35" t="s">
        <v>67</v>
      </c>
      <c r="I2" s="35" t="s">
        <v>68</v>
      </c>
      <c r="J2" s="35" t="s">
        <v>65</v>
      </c>
      <c r="K2" s="35" t="s">
        <v>69</v>
      </c>
      <c r="L2" s="35" t="s">
        <v>70</v>
      </c>
      <c r="M2" s="35" t="s">
        <v>72</v>
      </c>
      <c r="O2" s="35" t="s">
        <v>74</v>
      </c>
    </row>
    <row r="3" spans="1:15" ht="120" hidden="1" x14ac:dyDescent="0.25">
      <c r="A3" s="35">
        <v>2</v>
      </c>
      <c r="B3" s="92">
        <v>4</v>
      </c>
      <c r="C3" s="92">
        <v>1</v>
      </c>
      <c r="D3" s="35" t="s">
        <v>73</v>
      </c>
      <c r="E3" s="35" t="s">
        <v>77</v>
      </c>
      <c r="F3" s="35" t="s">
        <v>78</v>
      </c>
      <c r="G3" s="35" t="s">
        <v>79</v>
      </c>
      <c r="H3" s="35" t="s">
        <v>80</v>
      </c>
      <c r="I3" s="35" t="s">
        <v>81</v>
      </c>
      <c r="J3" s="35" t="s">
        <v>80</v>
      </c>
      <c r="K3" s="35" t="s">
        <v>82</v>
      </c>
      <c r="L3" s="35" t="s">
        <v>83</v>
      </c>
      <c r="M3" s="35" t="s">
        <v>84</v>
      </c>
      <c r="N3" s="35" t="s">
        <v>85</v>
      </c>
      <c r="O3" s="35" t="s">
        <v>86</v>
      </c>
    </row>
    <row r="4" spans="1:15" ht="90" hidden="1" x14ac:dyDescent="0.25">
      <c r="A4" s="35">
        <v>4</v>
      </c>
      <c r="B4" s="92">
        <v>2</v>
      </c>
      <c r="C4" s="92">
        <v>1</v>
      </c>
      <c r="D4" s="35" t="s">
        <v>73</v>
      </c>
      <c r="E4" s="35" t="s">
        <v>89</v>
      </c>
      <c r="F4" s="35" t="s">
        <v>90</v>
      </c>
      <c r="G4" s="35" t="s">
        <v>91</v>
      </c>
      <c r="H4" s="35" t="s">
        <v>92</v>
      </c>
      <c r="I4" s="35" t="s">
        <v>93</v>
      </c>
      <c r="J4" s="35" t="s">
        <v>90</v>
      </c>
      <c r="K4" s="35" t="s">
        <v>69</v>
      </c>
      <c r="L4" s="35" t="s">
        <v>94</v>
      </c>
      <c r="M4" s="35" t="s">
        <v>95</v>
      </c>
      <c r="O4" s="35" t="s">
        <v>74</v>
      </c>
    </row>
    <row r="5" spans="1:15" ht="135" hidden="1" x14ac:dyDescent="0.25">
      <c r="A5" s="35">
        <v>5</v>
      </c>
      <c r="B5" s="92">
        <v>2</v>
      </c>
      <c r="C5" s="92">
        <v>2</v>
      </c>
      <c r="D5" s="35" t="s">
        <v>73</v>
      </c>
      <c r="E5" s="35" t="s">
        <v>96</v>
      </c>
      <c r="F5" s="35" t="s">
        <v>97</v>
      </c>
      <c r="G5" s="35" t="s">
        <v>98</v>
      </c>
      <c r="H5" s="35" t="s">
        <v>99</v>
      </c>
      <c r="I5" s="35" t="s">
        <v>100</v>
      </c>
      <c r="J5" s="35" t="s">
        <v>98</v>
      </c>
      <c r="K5" s="35" t="s">
        <v>101</v>
      </c>
      <c r="L5" s="35" t="s">
        <v>102</v>
      </c>
      <c r="M5" s="35" t="s">
        <v>95</v>
      </c>
      <c r="O5" s="35" t="s">
        <v>86</v>
      </c>
    </row>
    <row r="6" spans="1:15" ht="120" hidden="1" x14ac:dyDescent="0.25">
      <c r="A6" s="35">
        <v>6</v>
      </c>
      <c r="B6" s="92">
        <v>2</v>
      </c>
      <c r="C6" s="92">
        <v>3</v>
      </c>
      <c r="D6" s="35" t="s">
        <v>73</v>
      </c>
      <c r="E6" s="35" t="s">
        <v>103</v>
      </c>
      <c r="F6" s="35" t="s">
        <v>104</v>
      </c>
      <c r="G6" s="35" t="s">
        <v>105</v>
      </c>
      <c r="H6" s="35" t="s">
        <v>106</v>
      </c>
      <c r="I6" s="35" t="s">
        <v>107</v>
      </c>
      <c r="J6" s="35" t="s">
        <v>106</v>
      </c>
      <c r="K6" s="35" t="s">
        <v>82</v>
      </c>
      <c r="L6" s="35" t="s">
        <v>108</v>
      </c>
      <c r="M6" s="35" t="s">
        <v>95</v>
      </c>
      <c r="O6" s="35" t="s">
        <v>74</v>
      </c>
    </row>
    <row r="7" spans="1:15" ht="75" hidden="1" x14ac:dyDescent="0.25">
      <c r="A7" s="35">
        <v>7</v>
      </c>
      <c r="B7" s="92">
        <v>2</v>
      </c>
      <c r="C7" s="92">
        <v>4</v>
      </c>
      <c r="D7" s="35" t="s">
        <v>73</v>
      </c>
      <c r="E7" s="35" t="s">
        <v>109</v>
      </c>
      <c r="F7" s="35" t="s">
        <v>110</v>
      </c>
      <c r="G7" s="35" t="s">
        <v>111</v>
      </c>
      <c r="H7" s="35" t="s">
        <v>112</v>
      </c>
      <c r="I7" s="35" t="s">
        <v>113</v>
      </c>
      <c r="J7" s="35" t="s">
        <v>113</v>
      </c>
      <c r="K7" s="35" t="s">
        <v>114</v>
      </c>
      <c r="L7" s="35" t="s">
        <v>115</v>
      </c>
      <c r="M7" s="35" t="s">
        <v>95</v>
      </c>
      <c r="O7" s="35" t="s">
        <v>74</v>
      </c>
    </row>
    <row r="8" spans="1:15" ht="135" hidden="1" x14ac:dyDescent="0.25">
      <c r="A8" s="35">
        <v>8</v>
      </c>
      <c r="B8" s="92">
        <v>2</v>
      </c>
      <c r="C8" s="92">
        <v>5</v>
      </c>
      <c r="D8" s="35" t="s">
        <v>73</v>
      </c>
      <c r="E8" s="35" t="s">
        <v>116</v>
      </c>
      <c r="F8" s="35" t="s">
        <v>117</v>
      </c>
      <c r="G8" s="35" t="s">
        <v>118</v>
      </c>
      <c r="H8" s="35" t="s">
        <v>119</v>
      </c>
      <c r="I8" s="35" t="s">
        <v>120</v>
      </c>
      <c r="J8" s="35" t="s">
        <v>117</v>
      </c>
      <c r="K8" s="35" t="s">
        <v>69</v>
      </c>
      <c r="L8" s="35" t="s">
        <v>121</v>
      </c>
      <c r="M8" s="35" t="s">
        <v>95</v>
      </c>
      <c r="O8" s="35" t="s">
        <v>122</v>
      </c>
    </row>
    <row r="9" spans="1:15" ht="120" hidden="1" x14ac:dyDescent="0.25">
      <c r="A9" s="35">
        <v>9</v>
      </c>
      <c r="B9" s="92">
        <v>2</v>
      </c>
      <c r="C9" s="92">
        <v>6</v>
      </c>
      <c r="D9" s="35" t="s">
        <v>73</v>
      </c>
      <c r="E9" s="35" t="s">
        <v>123</v>
      </c>
      <c r="F9" s="35" t="s">
        <v>124</v>
      </c>
      <c r="G9" s="35" t="s">
        <v>125</v>
      </c>
      <c r="H9" s="35" t="s">
        <v>126</v>
      </c>
      <c r="I9" s="35" t="s">
        <v>127</v>
      </c>
      <c r="J9" s="35" t="s">
        <v>125</v>
      </c>
      <c r="K9" s="35" t="s">
        <v>101</v>
      </c>
      <c r="L9" s="35" t="s">
        <v>128</v>
      </c>
      <c r="M9" s="35" t="s">
        <v>95</v>
      </c>
      <c r="O9" s="35" t="s">
        <v>86</v>
      </c>
    </row>
    <row r="10" spans="1:15" ht="105" hidden="1" x14ac:dyDescent="0.25">
      <c r="A10" s="35">
        <v>10</v>
      </c>
      <c r="B10" s="92">
        <v>5</v>
      </c>
      <c r="C10" s="92">
        <v>1</v>
      </c>
      <c r="D10" s="35" t="s">
        <v>3689</v>
      </c>
      <c r="E10" s="35" t="s">
        <v>129</v>
      </c>
      <c r="F10" s="35" t="s">
        <v>130</v>
      </c>
      <c r="G10" s="35" t="s">
        <v>131</v>
      </c>
      <c r="H10" s="35" t="s">
        <v>132</v>
      </c>
      <c r="I10" s="35" t="s">
        <v>133</v>
      </c>
      <c r="J10" s="35" t="s">
        <v>130</v>
      </c>
      <c r="K10" s="35" t="s">
        <v>69</v>
      </c>
      <c r="L10" s="35" t="s">
        <v>134</v>
      </c>
      <c r="M10" s="35" t="s">
        <v>95</v>
      </c>
      <c r="O10" s="35" t="s">
        <v>86</v>
      </c>
    </row>
    <row r="11" spans="1:15" ht="120" hidden="1" x14ac:dyDescent="0.25">
      <c r="A11" s="35">
        <v>11</v>
      </c>
      <c r="B11" s="92">
        <v>2</v>
      </c>
      <c r="C11" s="92">
        <v>7</v>
      </c>
      <c r="D11" s="35" t="s">
        <v>73</v>
      </c>
      <c r="E11" s="35" t="s">
        <v>135</v>
      </c>
      <c r="F11" s="35" t="s">
        <v>136</v>
      </c>
      <c r="G11" s="35" t="s">
        <v>137</v>
      </c>
      <c r="H11" s="35" t="s">
        <v>138</v>
      </c>
      <c r="I11" s="35" t="s">
        <v>139</v>
      </c>
      <c r="J11" s="35" t="s">
        <v>137</v>
      </c>
      <c r="K11" s="35" t="s">
        <v>101</v>
      </c>
      <c r="L11" s="35" t="s">
        <v>140</v>
      </c>
      <c r="M11" s="35" t="s">
        <v>95</v>
      </c>
      <c r="O11" s="35" t="s">
        <v>74</v>
      </c>
    </row>
    <row r="12" spans="1:15" ht="75" hidden="1" x14ac:dyDescent="0.25">
      <c r="A12" s="35">
        <v>13</v>
      </c>
      <c r="B12" s="92">
        <v>2</v>
      </c>
      <c r="C12" s="92">
        <v>8</v>
      </c>
      <c r="D12" s="35" t="s">
        <v>73</v>
      </c>
      <c r="E12" s="35" t="s">
        <v>143</v>
      </c>
      <c r="F12" s="35" t="s">
        <v>144</v>
      </c>
      <c r="G12" s="35" t="s">
        <v>145</v>
      </c>
      <c r="H12" s="35" t="s">
        <v>146</v>
      </c>
      <c r="I12" s="35" t="s">
        <v>147</v>
      </c>
      <c r="J12" s="35" t="s">
        <v>147</v>
      </c>
      <c r="K12" s="35" t="s">
        <v>114</v>
      </c>
      <c r="L12" s="35" t="s">
        <v>148</v>
      </c>
      <c r="M12" s="35" t="s">
        <v>95</v>
      </c>
      <c r="O12" s="35" t="s">
        <v>74</v>
      </c>
    </row>
    <row r="13" spans="1:15" ht="135" hidden="1" x14ac:dyDescent="0.25">
      <c r="A13" s="35">
        <v>14</v>
      </c>
      <c r="B13" s="92">
        <v>2</v>
      </c>
      <c r="C13" s="92">
        <v>9</v>
      </c>
      <c r="D13" s="35" t="s">
        <v>73</v>
      </c>
      <c r="E13" s="35" t="s">
        <v>149</v>
      </c>
      <c r="F13" s="35" t="s">
        <v>150</v>
      </c>
      <c r="G13" s="35" t="s">
        <v>151</v>
      </c>
      <c r="H13" s="35" t="s">
        <v>152</v>
      </c>
      <c r="I13" s="35" t="s">
        <v>153</v>
      </c>
      <c r="J13" s="35" t="s">
        <v>150</v>
      </c>
      <c r="K13" s="35" t="s">
        <v>69</v>
      </c>
      <c r="L13" s="35" t="s">
        <v>154</v>
      </c>
      <c r="M13" s="35" t="s">
        <v>95</v>
      </c>
      <c r="O13" s="35" t="s">
        <v>86</v>
      </c>
    </row>
    <row r="14" spans="1:15" ht="120" hidden="1" x14ac:dyDescent="0.25">
      <c r="A14" s="35">
        <v>15</v>
      </c>
      <c r="B14" s="92">
        <v>2</v>
      </c>
      <c r="C14" s="92">
        <v>10</v>
      </c>
      <c r="D14" s="35" t="s">
        <v>73</v>
      </c>
      <c r="E14" s="35" t="s">
        <v>155</v>
      </c>
      <c r="F14" s="35" t="s">
        <v>156</v>
      </c>
      <c r="G14" s="35" t="s">
        <v>157</v>
      </c>
      <c r="H14" s="35" t="s">
        <v>158</v>
      </c>
      <c r="I14" s="35" t="s">
        <v>159</v>
      </c>
      <c r="J14" s="35" t="s">
        <v>156</v>
      </c>
      <c r="K14" s="35" t="s">
        <v>69</v>
      </c>
      <c r="L14" s="35" t="s">
        <v>160</v>
      </c>
      <c r="M14" s="35" t="s">
        <v>95</v>
      </c>
      <c r="O14" s="35" t="s">
        <v>74</v>
      </c>
    </row>
    <row r="15" spans="1:15" ht="60" hidden="1" x14ac:dyDescent="0.25">
      <c r="A15" s="35">
        <v>16</v>
      </c>
      <c r="B15" s="92">
        <v>2</v>
      </c>
      <c r="C15" s="92">
        <v>11</v>
      </c>
      <c r="D15" s="35" t="s">
        <v>73</v>
      </c>
      <c r="E15" s="35" t="s">
        <v>161</v>
      </c>
      <c r="F15" s="35" t="s">
        <v>162</v>
      </c>
      <c r="G15" s="35" t="s">
        <v>163</v>
      </c>
      <c r="H15" s="35" t="s">
        <v>164</v>
      </c>
      <c r="I15" s="35" t="s">
        <v>165</v>
      </c>
      <c r="J15" s="35" t="s">
        <v>164</v>
      </c>
      <c r="K15" s="35" t="s">
        <v>82</v>
      </c>
      <c r="L15" s="35" t="s">
        <v>166</v>
      </c>
      <c r="M15" s="35" t="s">
        <v>95</v>
      </c>
      <c r="O15" s="35" t="s">
        <v>74</v>
      </c>
    </row>
    <row r="16" spans="1:15" ht="105" x14ac:dyDescent="0.25">
      <c r="A16" s="35">
        <v>17</v>
      </c>
      <c r="B16" s="92">
        <v>1</v>
      </c>
      <c r="C16" s="92">
        <v>2</v>
      </c>
      <c r="D16" s="35" t="s">
        <v>73</v>
      </c>
      <c r="E16" s="35" t="s">
        <v>3691</v>
      </c>
      <c r="F16" s="1" t="s">
        <v>167</v>
      </c>
      <c r="G16" s="35" t="s">
        <v>168</v>
      </c>
      <c r="H16" s="35" t="s">
        <v>169</v>
      </c>
      <c r="I16" s="35" t="s">
        <v>170</v>
      </c>
      <c r="J16" s="35" t="s">
        <v>168</v>
      </c>
      <c r="K16" s="35" t="s">
        <v>101</v>
      </c>
      <c r="L16" s="35" t="s">
        <v>171</v>
      </c>
      <c r="M16" s="35" t="s">
        <v>72</v>
      </c>
      <c r="O16" s="35" t="s">
        <v>74</v>
      </c>
    </row>
    <row r="17" spans="1:15" ht="105" hidden="1" x14ac:dyDescent="0.25">
      <c r="A17" s="35">
        <v>18</v>
      </c>
      <c r="B17" s="92">
        <v>5</v>
      </c>
      <c r="C17" s="92">
        <v>2</v>
      </c>
      <c r="D17" s="35" t="s">
        <v>3689</v>
      </c>
      <c r="E17" s="35" t="s">
        <v>172</v>
      </c>
      <c r="F17" s="35" t="s">
        <v>173</v>
      </c>
      <c r="G17" s="35" t="s">
        <v>87</v>
      </c>
      <c r="H17" s="35" t="s">
        <v>174</v>
      </c>
      <c r="I17" s="35" t="s">
        <v>175</v>
      </c>
      <c r="J17" s="35" t="s">
        <v>87</v>
      </c>
      <c r="K17" s="35" t="s">
        <v>101</v>
      </c>
      <c r="L17" s="35" t="s">
        <v>176</v>
      </c>
      <c r="M17" s="35" t="s">
        <v>95</v>
      </c>
      <c r="O17" s="35" t="s">
        <v>86</v>
      </c>
    </row>
    <row r="18" spans="1:15" ht="75" hidden="1" x14ac:dyDescent="0.25">
      <c r="A18" s="35">
        <v>19</v>
      </c>
      <c r="B18" s="92">
        <v>2</v>
      </c>
      <c r="C18" s="92">
        <v>12</v>
      </c>
      <c r="D18" s="35" t="s">
        <v>73</v>
      </c>
      <c r="E18" s="35" t="s">
        <v>177</v>
      </c>
      <c r="F18" s="35" t="s">
        <v>178</v>
      </c>
      <c r="G18" s="35" t="s">
        <v>179</v>
      </c>
      <c r="H18" s="35" t="s">
        <v>180</v>
      </c>
      <c r="I18" s="35" t="s">
        <v>181</v>
      </c>
      <c r="J18" s="35" t="s">
        <v>179</v>
      </c>
      <c r="K18" s="35" t="s">
        <v>101</v>
      </c>
      <c r="L18" s="35" t="s">
        <v>182</v>
      </c>
      <c r="M18" s="35" t="s">
        <v>95</v>
      </c>
      <c r="O18" s="35" t="s">
        <v>86</v>
      </c>
    </row>
    <row r="19" spans="1:15" ht="90" hidden="1" x14ac:dyDescent="0.25">
      <c r="A19" s="35">
        <v>20</v>
      </c>
      <c r="B19" s="92">
        <v>2</v>
      </c>
      <c r="C19" s="92">
        <v>13</v>
      </c>
      <c r="D19" s="35" t="s">
        <v>73</v>
      </c>
      <c r="E19" s="35" t="s">
        <v>183</v>
      </c>
      <c r="F19" s="35" t="s">
        <v>184</v>
      </c>
      <c r="G19" s="35" t="s">
        <v>185</v>
      </c>
      <c r="H19" s="35" t="s">
        <v>186</v>
      </c>
      <c r="I19" s="35" t="s">
        <v>187</v>
      </c>
      <c r="J19" s="35" t="s">
        <v>184</v>
      </c>
      <c r="K19" s="35" t="s">
        <v>69</v>
      </c>
      <c r="L19" s="35" t="s">
        <v>188</v>
      </c>
      <c r="M19" s="35" t="s">
        <v>95</v>
      </c>
      <c r="O19" s="35" t="s">
        <v>74</v>
      </c>
    </row>
    <row r="20" spans="1:15" ht="105" hidden="1" x14ac:dyDescent="0.25">
      <c r="A20" s="35">
        <v>21</v>
      </c>
      <c r="B20" s="92">
        <v>2</v>
      </c>
      <c r="C20" s="92">
        <v>14</v>
      </c>
      <c r="D20" s="35" t="s">
        <v>73</v>
      </c>
      <c r="E20" s="35" t="s">
        <v>189</v>
      </c>
      <c r="F20" s="35" t="s">
        <v>173</v>
      </c>
      <c r="G20" s="35" t="s">
        <v>174</v>
      </c>
      <c r="H20" s="35" t="s">
        <v>190</v>
      </c>
      <c r="I20" s="35" t="s">
        <v>191</v>
      </c>
      <c r="J20" s="35" t="s">
        <v>190</v>
      </c>
      <c r="K20" s="35" t="s">
        <v>82</v>
      </c>
      <c r="L20" s="35" t="s">
        <v>192</v>
      </c>
      <c r="M20" s="35" t="s">
        <v>95</v>
      </c>
      <c r="O20" s="35" t="s">
        <v>74</v>
      </c>
    </row>
    <row r="21" spans="1:15" ht="120" hidden="1" x14ac:dyDescent="0.25">
      <c r="A21" s="35">
        <v>22</v>
      </c>
      <c r="B21" s="92">
        <v>2</v>
      </c>
      <c r="C21" s="92">
        <v>15</v>
      </c>
      <c r="D21" s="35" t="s">
        <v>73</v>
      </c>
      <c r="E21" s="35" t="s">
        <v>193</v>
      </c>
      <c r="F21" s="35" t="s">
        <v>194</v>
      </c>
      <c r="G21" s="35" t="s">
        <v>195</v>
      </c>
      <c r="H21" s="35" t="s">
        <v>196</v>
      </c>
      <c r="I21" s="35" t="s">
        <v>197</v>
      </c>
      <c r="J21" s="35" t="s">
        <v>195</v>
      </c>
      <c r="K21" s="35" t="s">
        <v>101</v>
      </c>
      <c r="L21" s="35" t="s">
        <v>198</v>
      </c>
      <c r="M21" s="35" t="s">
        <v>95</v>
      </c>
      <c r="O21" s="35" t="s">
        <v>74</v>
      </c>
    </row>
    <row r="22" spans="1:15" ht="90" hidden="1" x14ac:dyDescent="0.25">
      <c r="A22" s="35">
        <v>23</v>
      </c>
      <c r="B22" s="92">
        <v>5</v>
      </c>
      <c r="C22" s="92">
        <v>3</v>
      </c>
      <c r="D22" s="35" t="s">
        <v>3689</v>
      </c>
      <c r="E22" s="35" t="s">
        <v>199</v>
      </c>
      <c r="F22" s="35" t="s">
        <v>200</v>
      </c>
      <c r="G22" s="35" t="s">
        <v>201</v>
      </c>
      <c r="H22" s="35" t="s">
        <v>202</v>
      </c>
      <c r="I22" s="35" t="s">
        <v>203</v>
      </c>
      <c r="J22" s="35" t="s">
        <v>201</v>
      </c>
      <c r="K22" s="35" t="s">
        <v>101</v>
      </c>
      <c r="L22" s="35" t="s">
        <v>204</v>
      </c>
      <c r="M22" s="35" t="s">
        <v>95</v>
      </c>
      <c r="O22" s="35" t="s">
        <v>86</v>
      </c>
    </row>
    <row r="23" spans="1:15" ht="105" hidden="1" x14ac:dyDescent="0.25">
      <c r="A23" s="35">
        <v>24</v>
      </c>
      <c r="B23" s="92">
        <v>2</v>
      </c>
      <c r="C23" s="92">
        <v>16</v>
      </c>
      <c r="D23" s="35" t="s">
        <v>73</v>
      </c>
      <c r="E23" s="35" t="s">
        <v>205</v>
      </c>
      <c r="F23" s="35" t="s">
        <v>206</v>
      </c>
      <c r="G23" s="35" t="s">
        <v>207</v>
      </c>
      <c r="H23" s="35" t="s">
        <v>208</v>
      </c>
      <c r="I23" s="35" t="s">
        <v>209</v>
      </c>
      <c r="J23" s="35" t="s">
        <v>208</v>
      </c>
      <c r="K23" s="35" t="s">
        <v>82</v>
      </c>
      <c r="L23" s="35" t="s">
        <v>210</v>
      </c>
      <c r="M23" s="35" t="s">
        <v>95</v>
      </c>
      <c r="O23" s="35" t="s">
        <v>86</v>
      </c>
    </row>
    <row r="24" spans="1:15" ht="45" hidden="1" x14ac:dyDescent="0.25">
      <c r="A24" s="35">
        <v>25</v>
      </c>
      <c r="B24" s="92">
        <v>2</v>
      </c>
      <c r="C24" s="92">
        <v>17</v>
      </c>
      <c r="D24" s="35" t="s">
        <v>73</v>
      </c>
      <c r="E24" s="35" t="s">
        <v>211</v>
      </c>
      <c r="F24" s="35" t="s">
        <v>212</v>
      </c>
      <c r="G24" s="35" t="s">
        <v>213</v>
      </c>
      <c r="H24" s="35" t="s">
        <v>214</v>
      </c>
      <c r="I24" s="35" t="s">
        <v>215</v>
      </c>
      <c r="J24" s="35" t="s">
        <v>214</v>
      </c>
      <c r="K24" s="35" t="s">
        <v>82</v>
      </c>
      <c r="L24" s="35" t="s">
        <v>216</v>
      </c>
      <c r="M24" s="35" t="s">
        <v>95</v>
      </c>
      <c r="O24" s="35" t="s">
        <v>74</v>
      </c>
    </row>
    <row r="25" spans="1:15" ht="120" hidden="1" x14ac:dyDescent="0.25">
      <c r="A25" s="35">
        <v>26</v>
      </c>
      <c r="B25" s="92">
        <v>2</v>
      </c>
      <c r="C25" s="92">
        <v>18</v>
      </c>
      <c r="D25" s="35" t="s">
        <v>73</v>
      </c>
      <c r="E25" s="35" t="s">
        <v>217</v>
      </c>
      <c r="F25" s="35" t="s">
        <v>87</v>
      </c>
      <c r="G25" s="35" t="s">
        <v>173</v>
      </c>
      <c r="H25" s="35" t="s">
        <v>218</v>
      </c>
      <c r="I25" s="35" t="s">
        <v>219</v>
      </c>
      <c r="J25" s="35" t="s">
        <v>173</v>
      </c>
      <c r="K25" s="35" t="s">
        <v>101</v>
      </c>
      <c r="L25" s="35" t="s">
        <v>220</v>
      </c>
      <c r="M25" s="35" t="s">
        <v>95</v>
      </c>
      <c r="O25" s="35" t="s">
        <v>86</v>
      </c>
    </row>
    <row r="26" spans="1:15" ht="120" hidden="1" x14ac:dyDescent="0.25">
      <c r="A26" s="35">
        <v>27</v>
      </c>
      <c r="B26" s="92">
        <v>2</v>
      </c>
      <c r="C26" s="92">
        <v>19</v>
      </c>
      <c r="D26" s="35" t="s">
        <v>73</v>
      </c>
      <c r="E26" s="35" t="s">
        <v>221</v>
      </c>
      <c r="F26" s="35" t="s">
        <v>222</v>
      </c>
      <c r="G26" s="35" t="s">
        <v>223</v>
      </c>
      <c r="H26" s="35" t="s">
        <v>87</v>
      </c>
      <c r="I26" s="35" t="s">
        <v>224</v>
      </c>
      <c r="J26" s="35" t="s">
        <v>87</v>
      </c>
      <c r="K26" s="35" t="s">
        <v>82</v>
      </c>
      <c r="L26" s="35" t="s">
        <v>225</v>
      </c>
      <c r="M26" s="35" t="s">
        <v>95</v>
      </c>
      <c r="O26" s="35" t="s">
        <v>122</v>
      </c>
    </row>
    <row r="27" spans="1:15" ht="165" hidden="1" x14ac:dyDescent="0.25">
      <c r="A27" s="35">
        <v>28</v>
      </c>
      <c r="B27" s="92">
        <v>2</v>
      </c>
      <c r="C27" s="92">
        <v>20</v>
      </c>
      <c r="D27" s="35" t="s">
        <v>73</v>
      </c>
      <c r="E27" s="35" t="s">
        <v>226</v>
      </c>
      <c r="F27" s="35" t="s">
        <v>173</v>
      </c>
      <c r="G27" s="35" t="s">
        <v>87</v>
      </c>
      <c r="H27" s="35" t="s">
        <v>227</v>
      </c>
      <c r="I27" s="35" t="s">
        <v>228</v>
      </c>
      <c r="J27" s="35" t="s">
        <v>227</v>
      </c>
      <c r="K27" s="35" t="s">
        <v>82</v>
      </c>
      <c r="L27" s="35" t="s">
        <v>229</v>
      </c>
      <c r="M27" s="35" t="s">
        <v>95</v>
      </c>
      <c r="O27" s="35" t="s">
        <v>74</v>
      </c>
    </row>
    <row r="28" spans="1:15" ht="105" hidden="1" x14ac:dyDescent="0.25">
      <c r="A28" s="35">
        <v>29</v>
      </c>
      <c r="B28" s="92">
        <v>5</v>
      </c>
      <c r="C28" s="92">
        <v>4</v>
      </c>
      <c r="D28" s="35" t="s">
        <v>3689</v>
      </c>
      <c r="E28" s="35" t="s">
        <v>230</v>
      </c>
      <c r="F28" s="35" t="s">
        <v>231</v>
      </c>
      <c r="G28" s="35" t="s">
        <v>232</v>
      </c>
      <c r="H28" s="35" t="s">
        <v>233</v>
      </c>
      <c r="I28" s="35" t="s">
        <v>234</v>
      </c>
      <c r="J28" s="35" t="s">
        <v>233</v>
      </c>
      <c r="K28" s="35" t="s">
        <v>82</v>
      </c>
      <c r="L28" s="35" t="s">
        <v>235</v>
      </c>
      <c r="M28" s="35" t="s">
        <v>95</v>
      </c>
      <c r="O28" s="35" t="s">
        <v>86</v>
      </c>
    </row>
    <row r="29" spans="1:15" ht="120" hidden="1" x14ac:dyDescent="0.25">
      <c r="A29" s="35">
        <v>30</v>
      </c>
      <c r="B29" s="92">
        <v>5</v>
      </c>
      <c r="C29" s="92">
        <v>5</v>
      </c>
      <c r="D29" s="35" t="s">
        <v>3689</v>
      </c>
      <c r="E29" s="35" t="s">
        <v>236</v>
      </c>
      <c r="F29" s="35" t="s">
        <v>237</v>
      </c>
      <c r="G29" s="35" t="s">
        <v>238</v>
      </c>
      <c r="H29" s="35" t="s">
        <v>239</v>
      </c>
      <c r="I29" s="35" t="s">
        <v>240</v>
      </c>
      <c r="J29" s="35" t="s">
        <v>237</v>
      </c>
      <c r="K29" s="35" t="s">
        <v>69</v>
      </c>
      <c r="L29" s="35" t="s">
        <v>241</v>
      </c>
      <c r="M29" s="35" t="s">
        <v>95</v>
      </c>
      <c r="O29" s="35" t="s">
        <v>122</v>
      </c>
    </row>
    <row r="30" spans="1:15" ht="105" hidden="1" x14ac:dyDescent="0.25">
      <c r="A30" s="35">
        <v>31</v>
      </c>
      <c r="B30" s="92">
        <v>2</v>
      </c>
      <c r="C30" s="92">
        <v>21</v>
      </c>
      <c r="D30" s="35" t="s">
        <v>73</v>
      </c>
      <c r="E30" s="35" t="s">
        <v>242</v>
      </c>
      <c r="F30" s="35" t="s">
        <v>243</v>
      </c>
      <c r="G30" s="35" t="s">
        <v>244</v>
      </c>
      <c r="H30" s="35" t="s">
        <v>245</v>
      </c>
      <c r="I30" s="35" t="s">
        <v>246</v>
      </c>
      <c r="J30" s="35" t="s">
        <v>244</v>
      </c>
      <c r="K30" s="35" t="s">
        <v>101</v>
      </c>
      <c r="L30" s="35" t="s">
        <v>247</v>
      </c>
      <c r="M30" s="35" t="s">
        <v>95</v>
      </c>
      <c r="O30" s="35" t="s">
        <v>74</v>
      </c>
    </row>
    <row r="31" spans="1:15" ht="90" hidden="1" x14ac:dyDescent="0.25">
      <c r="A31" s="35">
        <v>32</v>
      </c>
      <c r="B31" s="92">
        <v>5</v>
      </c>
      <c r="C31" s="92">
        <v>6</v>
      </c>
      <c r="D31" s="35" t="s">
        <v>3689</v>
      </c>
      <c r="E31" s="35" t="s">
        <v>248</v>
      </c>
      <c r="F31" s="35" t="s">
        <v>249</v>
      </c>
      <c r="G31" s="35" t="s">
        <v>250</v>
      </c>
      <c r="H31" s="35" t="s">
        <v>251</v>
      </c>
      <c r="I31" s="35" t="s">
        <v>252</v>
      </c>
      <c r="J31" s="35" t="s">
        <v>251</v>
      </c>
      <c r="K31" s="35" t="s">
        <v>82</v>
      </c>
      <c r="L31" s="35" t="s">
        <v>253</v>
      </c>
      <c r="M31" s="35" t="s">
        <v>95</v>
      </c>
      <c r="O31" s="35" t="s">
        <v>122</v>
      </c>
    </row>
    <row r="32" spans="1:15" ht="135" hidden="1" x14ac:dyDescent="0.25">
      <c r="A32" s="35">
        <v>33</v>
      </c>
      <c r="B32" s="92">
        <v>2</v>
      </c>
      <c r="C32" s="92">
        <v>22</v>
      </c>
      <c r="D32" s="35" t="s">
        <v>73</v>
      </c>
      <c r="E32" s="35" t="s">
        <v>254</v>
      </c>
      <c r="F32" s="35" t="s">
        <v>255</v>
      </c>
      <c r="G32" s="35" t="s">
        <v>256</v>
      </c>
      <c r="H32" s="35" t="s">
        <v>257</v>
      </c>
      <c r="I32" s="35" t="s">
        <v>258</v>
      </c>
      <c r="J32" s="35" t="s">
        <v>258</v>
      </c>
      <c r="K32" s="35" t="s">
        <v>114</v>
      </c>
      <c r="L32" s="35" t="s">
        <v>259</v>
      </c>
      <c r="M32" s="35" t="s">
        <v>95</v>
      </c>
      <c r="O32" s="35" t="s">
        <v>86</v>
      </c>
    </row>
    <row r="33" spans="1:15" ht="135" hidden="1" x14ac:dyDescent="0.25">
      <c r="A33" s="35">
        <v>34</v>
      </c>
      <c r="B33" s="92">
        <v>2</v>
      </c>
      <c r="C33" s="92">
        <v>23</v>
      </c>
      <c r="D33" s="35" t="s">
        <v>73</v>
      </c>
      <c r="E33" s="35" t="s">
        <v>260</v>
      </c>
      <c r="F33" s="35" t="s">
        <v>261</v>
      </c>
      <c r="G33" s="35" t="s">
        <v>262</v>
      </c>
      <c r="H33" s="35" t="s">
        <v>263</v>
      </c>
      <c r="I33" s="35" t="s">
        <v>264</v>
      </c>
      <c r="J33" s="35" t="s">
        <v>264</v>
      </c>
      <c r="K33" s="35" t="s">
        <v>114</v>
      </c>
      <c r="L33" s="35" t="s">
        <v>265</v>
      </c>
      <c r="M33" s="35" t="s">
        <v>95</v>
      </c>
      <c r="O33" s="35" t="s">
        <v>122</v>
      </c>
    </row>
    <row r="34" spans="1:15" ht="90" hidden="1" x14ac:dyDescent="0.25">
      <c r="A34" s="35">
        <v>35</v>
      </c>
      <c r="B34" s="92">
        <v>2</v>
      </c>
      <c r="C34" s="92">
        <v>24</v>
      </c>
      <c r="D34" s="35" t="s">
        <v>73</v>
      </c>
      <c r="E34" s="35" t="s">
        <v>266</v>
      </c>
      <c r="F34" s="35" t="s">
        <v>267</v>
      </c>
      <c r="G34" s="35" t="s">
        <v>268</v>
      </c>
      <c r="H34" s="35" t="s">
        <v>269</v>
      </c>
      <c r="I34" s="35" t="s">
        <v>270</v>
      </c>
      <c r="J34" s="35" t="s">
        <v>268</v>
      </c>
      <c r="K34" s="35" t="s">
        <v>101</v>
      </c>
      <c r="L34" s="35" t="s">
        <v>271</v>
      </c>
      <c r="M34" s="35" t="s">
        <v>95</v>
      </c>
      <c r="O34" s="35" t="s">
        <v>74</v>
      </c>
    </row>
    <row r="35" spans="1:15" ht="180" hidden="1" x14ac:dyDescent="0.25">
      <c r="A35" s="35">
        <v>36</v>
      </c>
      <c r="B35" s="92">
        <v>5</v>
      </c>
      <c r="C35" s="92">
        <v>7</v>
      </c>
      <c r="D35" s="35" t="s">
        <v>3689</v>
      </c>
      <c r="E35" s="35" t="s">
        <v>272</v>
      </c>
      <c r="F35" s="35" t="s">
        <v>273</v>
      </c>
      <c r="G35" s="35" t="s">
        <v>274</v>
      </c>
      <c r="H35" s="35" t="s">
        <v>275</v>
      </c>
      <c r="I35" s="35" t="s">
        <v>276</v>
      </c>
      <c r="J35" s="35" t="s">
        <v>273</v>
      </c>
      <c r="K35" s="35" t="s">
        <v>69</v>
      </c>
      <c r="L35" s="35" t="s">
        <v>277</v>
      </c>
      <c r="M35" s="35" t="s">
        <v>95</v>
      </c>
      <c r="O35" s="35" t="s">
        <v>122</v>
      </c>
    </row>
    <row r="36" spans="1:15" ht="105" hidden="1" x14ac:dyDescent="0.25">
      <c r="A36" s="35">
        <v>37</v>
      </c>
      <c r="B36" s="92">
        <v>2</v>
      </c>
      <c r="C36" s="92">
        <v>25</v>
      </c>
      <c r="D36" s="35" t="s">
        <v>73</v>
      </c>
      <c r="E36" s="35" t="s">
        <v>278</v>
      </c>
      <c r="F36" s="35" t="s">
        <v>279</v>
      </c>
      <c r="G36" s="35" t="s">
        <v>280</v>
      </c>
      <c r="H36" s="35" t="s">
        <v>281</v>
      </c>
      <c r="I36" s="35" t="s">
        <v>282</v>
      </c>
      <c r="J36" s="35" t="s">
        <v>281</v>
      </c>
      <c r="K36" s="35" t="s">
        <v>82</v>
      </c>
      <c r="L36" s="35" t="s">
        <v>283</v>
      </c>
      <c r="M36" s="35" t="s">
        <v>95</v>
      </c>
      <c r="O36" s="35" t="s">
        <v>74</v>
      </c>
    </row>
    <row r="37" spans="1:15" ht="90" hidden="1" x14ac:dyDescent="0.25">
      <c r="A37" s="35">
        <v>38</v>
      </c>
      <c r="B37" s="92">
        <v>2</v>
      </c>
      <c r="C37" s="92">
        <v>26</v>
      </c>
      <c r="D37" s="35" t="s">
        <v>73</v>
      </c>
      <c r="E37" s="35" t="s">
        <v>284</v>
      </c>
      <c r="F37" s="35" t="s">
        <v>285</v>
      </c>
      <c r="G37" s="35" t="s">
        <v>286</v>
      </c>
      <c r="H37" s="35" t="s">
        <v>287</v>
      </c>
      <c r="I37" s="35" t="s">
        <v>288</v>
      </c>
      <c r="J37" s="35" t="s">
        <v>289</v>
      </c>
      <c r="K37" s="35" t="s">
        <v>69</v>
      </c>
      <c r="L37" s="35" t="s">
        <v>290</v>
      </c>
      <c r="M37" s="35" t="s">
        <v>95</v>
      </c>
      <c r="O37" s="35" t="s">
        <v>74</v>
      </c>
    </row>
    <row r="38" spans="1:15" ht="120" hidden="1" x14ac:dyDescent="0.25">
      <c r="A38" s="35">
        <v>39</v>
      </c>
      <c r="B38" s="92">
        <v>5</v>
      </c>
      <c r="C38" s="92">
        <v>8</v>
      </c>
      <c r="D38" s="35" t="s">
        <v>3689</v>
      </c>
      <c r="E38" s="35" t="s">
        <v>291</v>
      </c>
      <c r="F38" s="35" t="s">
        <v>292</v>
      </c>
      <c r="G38" s="35" t="s">
        <v>293</v>
      </c>
      <c r="H38" s="35" t="s">
        <v>294</v>
      </c>
      <c r="I38" s="35" t="s">
        <v>295</v>
      </c>
      <c r="J38" s="35" t="s">
        <v>295</v>
      </c>
      <c r="K38" s="35" t="s">
        <v>114</v>
      </c>
      <c r="L38" s="35" t="s">
        <v>296</v>
      </c>
      <c r="M38" s="35" t="s">
        <v>95</v>
      </c>
      <c r="O38" s="35" t="s">
        <v>86</v>
      </c>
    </row>
    <row r="39" spans="1:15" ht="105" hidden="1" x14ac:dyDescent="0.25">
      <c r="A39" s="35">
        <v>40</v>
      </c>
      <c r="B39" s="92">
        <v>5</v>
      </c>
      <c r="C39" s="92">
        <v>9</v>
      </c>
      <c r="D39" s="35" t="s">
        <v>3689</v>
      </c>
      <c r="E39" s="35" t="s">
        <v>297</v>
      </c>
      <c r="F39" s="35" t="s">
        <v>298</v>
      </c>
      <c r="G39" s="35" t="s">
        <v>299</v>
      </c>
      <c r="H39" s="35" t="s">
        <v>300</v>
      </c>
      <c r="I39" s="35" t="s">
        <v>301</v>
      </c>
      <c r="J39" s="35" t="s">
        <v>301</v>
      </c>
      <c r="K39" s="35" t="s">
        <v>114</v>
      </c>
      <c r="L39" s="35" t="s">
        <v>302</v>
      </c>
      <c r="M39" s="35" t="s">
        <v>95</v>
      </c>
      <c r="O39" s="35" t="s">
        <v>122</v>
      </c>
    </row>
    <row r="40" spans="1:15" ht="120" hidden="1" x14ac:dyDescent="0.25">
      <c r="A40" s="35">
        <v>41</v>
      </c>
      <c r="B40" s="92">
        <v>5</v>
      </c>
      <c r="C40" s="92">
        <v>10</v>
      </c>
      <c r="D40" s="35" t="s">
        <v>3689</v>
      </c>
      <c r="E40" s="35" t="s">
        <v>303</v>
      </c>
      <c r="F40" s="35" t="s">
        <v>304</v>
      </c>
      <c r="G40" s="35" t="s">
        <v>305</v>
      </c>
      <c r="H40" s="35" t="s">
        <v>306</v>
      </c>
      <c r="I40" s="35" t="s">
        <v>307</v>
      </c>
      <c r="J40" s="35" t="s">
        <v>305</v>
      </c>
      <c r="K40" s="35" t="s">
        <v>101</v>
      </c>
      <c r="L40" s="35" t="s">
        <v>308</v>
      </c>
      <c r="M40" s="35" t="s">
        <v>95</v>
      </c>
      <c r="O40" s="35" t="s">
        <v>122</v>
      </c>
    </row>
    <row r="41" spans="1:15" ht="105" hidden="1" x14ac:dyDescent="0.25">
      <c r="A41" s="35">
        <v>42</v>
      </c>
      <c r="B41" s="92">
        <v>2</v>
      </c>
      <c r="C41" s="92">
        <v>27</v>
      </c>
      <c r="D41" s="35" t="s">
        <v>73</v>
      </c>
      <c r="E41" s="35" t="s">
        <v>309</v>
      </c>
      <c r="F41" s="35" t="s">
        <v>310</v>
      </c>
      <c r="G41" s="35" t="s">
        <v>311</v>
      </c>
      <c r="H41" s="35" t="s">
        <v>312</v>
      </c>
      <c r="I41" s="35" t="s">
        <v>313</v>
      </c>
      <c r="J41" s="35" t="s">
        <v>312</v>
      </c>
      <c r="K41" s="35" t="s">
        <v>82</v>
      </c>
      <c r="L41" s="35" t="s">
        <v>314</v>
      </c>
      <c r="M41" s="35" t="s">
        <v>95</v>
      </c>
      <c r="O41" s="35" t="s">
        <v>86</v>
      </c>
    </row>
    <row r="42" spans="1:15" ht="135" hidden="1" x14ac:dyDescent="0.25">
      <c r="A42" s="35">
        <v>43</v>
      </c>
      <c r="B42" s="92">
        <v>5</v>
      </c>
      <c r="C42" s="92">
        <v>11</v>
      </c>
      <c r="D42" s="35" t="s">
        <v>3689</v>
      </c>
      <c r="E42" s="35" t="s">
        <v>315</v>
      </c>
      <c r="F42" s="35" t="s">
        <v>316</v>
      </c>
      <c r="G42" s="35" t="s">
        <v>317</v>
      </c>
      <c r="H42" s="35" t="s">
        <v>318</v>
      </c>
      <c r="I42" s="35" t="s">
        <v>319</v>
      </c>
      <c r="J42" s="35" t="s">
        <v>318</v>
      </c>
      <c r="K42" s="35" t="s">
        <v>82</v>
      </c>
      <c r="L42" s="35" t="s">
        <v>320</v>
      </c>
      <c r="M42" s="35" t="s">
        <v>95</v>
      </c>
      <c r="O42" s="35" t="s">
        <v>86</v>
      </c>
    </row>
    <row r="43" spans="1:15" ht="90" hidden="1" x14ac:dyDescent="0.25">
      <c r="A43" s="35">
        <v>44</v>
      </c>
      <c r="B43" s="92">
        <v>2</v>
      </c>
      <c r="C43" s="92">
        <v>28</v>
      </c>
      <c r="D43" s="35" t="s">
        <v>73</v>
      </c>
      <c r="E43" s="35" t="s">
        <v>321</v>
      </c>
      <c r="F43" s="35" t="s">
        <v>322</v>
      </c>
      <c r="G43" s="35" t="s">
        <v>323</v>
      </c>
      <c r="H43" s="35" t="s">
        <v>324</v>
      </c>
      <c r="I43" s="35" t="s">
        <v>325</v>
      </c>
      <c r="J43" s="35" t="s">
        <v>322</v>
      </c>
      <c r="K43" s="35" t="s">
        <v>69</v>
      </c>
      <c r="L43" s="35" t="s">
        <v>326</v>
      </c>
      <c r="M43" s="35" t="s">
        <v>95</v>
      </c>
      <c r="O43" s="35" t="s">
        <v>86</v>
      </c>
    </row>
    <row r="44" spans="1:15" ht="120" hidden="1" x14ac:dyDescent="0.25">
      <c r="A44" s="35">
        <v>45</v>
      </c>
      <c r="B44" s="92">
        <v>5</v>
      </c>
      <c r="C44" s="92">
        <v>12</v>
      </c>
      <c r="D44" s="35" t="s">
        <v>3689</v>
      </c>
      <c r="E44" s="35" t="s">
        <v>327</v>
      </c>
      <c r="F44" s="35" t="s">
        <v>328</v>
      </c>
      <c r="G44" s="35" t="s">
        <v>329</v>
      </c>
      <c r="H44" s="35" t="s">
        <v>330</v>
      </c>
      <c r="I44" s="35" t="s">
        <v>331</v>
      </c>
      <c r="J44" s="35" t="s">
        <v>328</v>
      </c>
      <c r="K44" s="35" t="s">
        <v>69</v>
      </c>
      <c r="L44" s="35" t="s">
        <v>332</v>
      </c>
      <c r="M44" s="35" t="s">
        <v>95</v>
      </c>
      <c r="O44" s="35" t="s">
        <v>122</v>
      </c>
    </row>
    <row r="45" spans="1:15" ht="75" hidden="1" x14ac:dyDescent="0.25">
      <c r="A45" s="35">
        <v>46</v>
      </c>
      <c r="B45" s="92">
        <v>5</v>
      </c>
      <c r="C45" s="92">
        <v>13</v>
      </c>
      <c r="D45" s="35" t="s">
        <v>3689</v>
      </c>
      <c r="E45" s="35" t="s">
        <v>333</v>
      </c>
      <c r="F45" s="35" t="s">
        <v>334</v>
      </c>
      <c r="G45" s="35" t="s">
        <v>335</v>
      </c>
      <c r="H45" s="35" t="s">
        <v>336</v>
      </c>
      <c r="I45" s="35" t="s">
        <v>337</v>
      </c>
      <c r="J45" s="35" t="s">
        <v>336</v>
      </c>
      <c r="K45" s="35" t="s">
        <v>82</v>
      </c>
      <c r="L45" s="35" t="s">
        <v>338</v>
      </c>
      <c r="M45" s="35" t="s">
        <v>95</v>
      </c>
      <c r="O45" s="35" t="s">
        <v>86</v>
      </c>
    </row>
    <row r="46" spans="1:15" ht="75" hidden="1" x14ac:dyDescent="0.25">
      <c r="A46" s="35">
        <v>47</v>
      </c>
      <c r="B46" s="92">
        <v>5</v>
      </c>
      <c r="C46" s="92">
        <v>14</v>
      </c>
      <c r="D46" s="35" t="s">
        <v>3689</v>
      </c>
      <c r="E46" s="35" t="s">
        <v>339</v>
      </c>
      <c r="F46" s="35" t="s">
        <v>340</v>
      </c>
      <c r="G46" s="35" t="s">
        <v>341</v>
      </c>
      <c r="H46" s="35" t="s">
        <v>342</v>
      </c>
      <c r="I46" s="35" t="s">
        <v>343</v>
      </c>
      <c r="J46" s="35" t="s">
        <v>342</v>
      </c>
      <c r="K46" s="35" t="s">
        <v>82</v>
      </c>
      <c r="L46" s="35" t="s">
        <v>344</v>
      </c>
      <c r="M46" s="35" t="s">
        <v>95</v>
      </c>
      <c r="O46" s="35" t="s">
        <v>122</v>
      </c>
    </row>
    <row r="47" spans="1:15" ht="105" hidden="1" x14ac:dyDescent="0.25">
      <c r="A47" s="35">
        <v>48</v>
      </c>
      <c r="B47" s="92">
        <v>2</v>
      </c>
      <c r="C47" s="92">
        <v>29</v>
      </c>
      <c r="D47" s="35" t="s">
        <v>73</v>
      </c>
      <c r="E47" s="35" t="s">
        <v>345</v>
      </c>
      <c r="F47" s="35" t="s">
        <v>346</v>
      </c>
      <c r="G47" s="35" t="s">
        <v>202</v>
      </c>
      <c r="H47" s="35" t="s">
        <v>347</v>
      </c>
      <c r="I47" s="35" t="s">
        <v>348</v>
      </c>
      <c r="J47" s="35" t="s">
        <v>346</v>
      </c>
      <c r="K47" s="35" t="s">
        <v>69</v>
      </c>
      <c r="L47" s="35" t="s">
        <v>349</v>
      </c>
      <c r="M47" s="35" t="s">
        <v>95</v>
      </c>
      <c r="O47" s="35" t="s">
        <v>122</v>
      </c>
    </row>
    <row r="48" spans="1:15" ht="75" hidden="1" x14ac:dyDescent="0.25">
      <c r="A48" s="35">
        <v>49</v>
      </c>
      <c r="B48" s="92">
        <v>2</v>
      </c>
      <c r="C48" s="92">
        <v>30</v>
      </c>
      <c r="D48" s="35" t="s">
        <v>73</v>
      </c>
      <c r="E48" s="35" t="s">
        <v>350</v>
      </c>
      <c r="F48" s="35" t="s">
        <v>351</v>
      </c>
      <c r="G48" s="35" t="s">
        <v>352</v>
      </c>
      <c r="H48" s="35" t="s">
        <v>353</v>
      </c>
      <c r="I48" s="35" t="s">
        <v>354</v>
      </c>
      <c r="J48" s="35" t="s">
        <v>351</v>
      </c>
      <c r="K48" s="35" t="s">
        <v>69</v>
      </c>
      <c r="L48" s="35" t="s">
        <v>355</v>
      </c>
      <c r="M48" s="35" t="s">
        <v>95</v>
      </c>
      <c r="O48" s="35" t="s">
        <v>122</v>
      </c>
    </row>
    <row r="49" spans="1:15" ht="90" hidden="1" x14ac:dyDescent="0.25">
      <c r="A49" s="35">
        <v>51</v>
      </c>
      <c r="B49" s="92">
        <v>2</v>
      </c>
      <c r="C49" s="92">
        <v>31</v>
      </c>
      <c r="D49" s="35" t="s">
        <v>73</v>
      </c>
      <c r="E49" s="35" t="s">
        <v>357</v>
      </c>
      <c r="F49" s="35" t="s">
        <v>358</v>
      </c>
      <c r="G49" s="35" t="s">
        <v>359</v>
      </c>
      <c r="H49" s="35" t="s">
        <v>360</v>
      </c>
      <c r="I49" s="35" t="s">
        <v>361</v>
      </c>
      <c r="J49" s="35" t="s">
        <v>360</v>
      </c>
      <c r="K49" s="35" t="s">
        <v>82</v>
      </c>
      <c r="L49" s="35" t="s">
        <v>362</v>
      </c>
      <c r="M49" s="35" t="s">
        <v>95</v>
      </c>
      <c r="O49" s="35" t="s">
        <v>74</v>
      </c>
    </row>
    <row r="50" spans="1:15" ht="90" hidden="1" x14ac:dyDescent="0.25">
      <c r="A50" s="35">
        <v>52</v>
      </c>
      <c r="B50" s="92">
        <v>2</v>
      </c>
      <c r="C50" s="92">
        <v>32</v>
      </c>
      <c r="D50" s="35" t="s">
        <v>73</v>
      </c>
      <c r="E50" s="35" t="s">
        <v>363</v>
      </c>
      <c r="F50" s="35" t="s">
        <v>364</v>
      </c>
      <c r="G50" s="35" t="s">
        <v>365</v>
      </c>
      <c r="H50" s="35" t="s">
        <v>366</v>
      </c>
      <c r="I50" s="35" t="s">
        <v>367</v>
      </c>
      <c r="J50" s="35" t="s">
        <v>365</v>
      </c>
      <c r="K50" s="35" t="s">
        <v>101</v>
      </c>
      <c r="L50" s="35" t="s">
        <v>368</v>
      </c>
      <c r="M50" s="35" t="s">
        <v>95</v>
      </c>
      <c r="O50" s="35" t="s">
        <v>74</v>
      </c>
    </row>
    <row r="51" spans="1:15" ht="135" hidden="1" x14ac:dyDescent="0.25">
      <c r="A51" s="35">
        <v>53</v>
      </c>
      <c r="B51" s="92">
        <v>5</v>
      </c>
      <c r="C51" s="92">
        <v>15</v>
      </c>
      <c r="D51" s="35" t="s">
        <v>3689</v>
      </c>
      <c r="E51" s="35" t="s">
        <v>369</v>
      </c>
      <c r="F51" s="35" t="s">
        <v>370</v>
      </c>
      <c r="G51" s="35" t="s">
        <v>371</v>
      </c>
      <c r="H51" s="35" t="s">
        <v>372</v>
      </c>
      <c r="I51" s="35" t="s">
        <v>373</v>
      </c>
      <c r="J51" s="35" t="s">
        <v>373</v>
      </c>
      <c r="K51" s="35" t="s">
        <v>114</v>
      </c>
      <c r="L51" s="35" t="s">
        <v>374</v>
      </c>
      <c r="M51" s="35" t="s">
        <v>95</v>
      </c>
      <c r="O51" s="35" t="s">
        <v>122</v>
      </c>
    </row>
    <row r="52" spans="1:15" ht="180" hidden="1" x14ac:dyDescent="0.25">
      <c r="A52" s="35">
        <v>54</v>
      </c>
      <c r="B52" s="92">
        <v>2</v>
      </c>
      <c r="C52" s="92">
        <v>33</v>
      </c>
      <c r="D52" s="35" t="s">
        <v>73</v>
      </c>
      <c r="E52" s="35" t="s">
        <v>375</v>
      </c>
      <c r="F52" s="35" t="s">
        <v>376</v>
      </c>
      <c r="G52" s="35" t="s">
        <v>377</v>
      </c>
      <c r="H52" s="35" t="s">
        <v>378</v>
      </c>
      <c r="I52" s="35" t="s">
        <v>379</v>
      </c>
      <c r="J52" s="35" t="s">
        <v>376</v>
      </c>
      <c r="K52" s="35" t="s">
        <v>69</v>
      </c>
      <c r="L52" s="35" t="s">
        <v>380</v>
      </c>
      <c r="M52" s="35" t="s">
        <v>95</v>
      </c>
      <c r="O52" s="35" t="s">
        <v>74</v>
      </c>
    </row>
    <row r="53" spans="1:15" ht="120" hidden="1" x14ac:dyDescent="0.25">
      <c r="A53" s="35">
        <v>55</v>
      </c>
      <c r="B53" s="92">
        <v>2</v>
      </c>
      <c r="C53" s="92">
        <v>34</v>
      </c>
      <c r="D53" s="35" t="s">
        <v>73</v>
      </c>
      <c r="E53" s="35" t="s">
        <v>381</v>
      </c>
      <c r="F53" s="35" t="s">
        <v>382</v>
      </c>
      <c r="G53" s="35" t="s">
        <v>383</v>
      </c>
      <c r="H53" s="35" t="s">
        <v>384</v>
      </c>
      <c r="I53" s="35" t="s">
        <v>385</v>
      </c>
      <c r="J53" s="35" t="s">
        <v>385</v>
      </c>
      <c r="K53" s="35" t="s">
        <v>114</v>
      </c>
      <c r="L53" s="35" t="s">
        <v>386</v>
      </c>
      <c r="M53" s="35" t="s">
        <v>95</v>
      </c>
      <c r="O53" s="35" t="s">
        <v>86</v>
      </c>
    </row>
    <row r="54" spans="1:15" ht="60" hidden="1" x14ac:dyDescent="0.25">
      <c r="A54" s="35">
        <v>56</v>
      </c>
      <c r="B54" s="92">
        <v>2</v>
      </c>
      <c r="C54" s="92">
        <v>35</v>
      </c>
      <c r="D54" s="35" t="s">
        <v>73</v>
      </c>
      <c r="E54" s="35" t="s">
        <v>387</v>
      </c>
      <c r="F54" s="35" t="s">
        <v>388</v>
      </c>
      <c r="G54" s="35" t="s">
        <v>389</v>
      </c>
      <c r="H54" s="35" t="s">
        <v>390</v>
      </c>
      <c r="I54" s="35" t="s">
        <v>391</v>
      </c>
      <c r="J54" s="35" t="s">
        <v>390</v>
      </c>
      <c r="K54" s="35" t="s">
        <v>82</v>
      </c>
      <c r="L54" s="35" t="s">
        <v>392</v>
      </c>
      <c r="M54" s="35" t="s">
        <v>95</v>
      </c>
      <c r="O54" s="35" t="s">
        <v>74</v>
      </c>
    </row>
    <row r="55" spans="1:15" ht="60" hidden="1" x14ac:dyDescent="0.25">
      <c r="A55" s="35">
        <v>58</v>
      </c>
      <c r="B55" s="92">
        <v>2</v>
      </c>
      <c r="C55" s="92">
        <v>36</v>
      </c>
      <c r="D55" s="35" t="s">
        <v>73</v>
      </c>
      <c r="E55" s="35" t="s">
        <v>393</v>
      </c>
      <c r="F55" s="35" t="s">
        <v>394</v>
      </c>
      <c r="G55" s="35" t="s">
        <v>395</v>
      </c>
      <c r="H55" s="35" t="s">
        <v>396</v>
      </c>
      <c r="I55" s="35" t="s">
        <v>397</v>
      </c>
      <c r="J55" s="35" t="s">
        <v>397</v>
      </c>
      <c r="K55" s="35" t="s">
        <v>114</v>
      </c>
      <c r="L55" s="35" t="s">
        <v>398</v>
      </c>
      <c r="M55" s="35" t="s">
        <v>95</v>
      </c>
      <c r="O55" s="35" t="s">
        <v>74</v>
      </c>
    </row>
    <row r="56" spans="1:15" ht="60" hidden="1" x14ac:dyDescent="0.25">
      <c r="A56" s="35">
        <v>61</v>
      </c>
      <c r="B56" s="92">
        <v>2</v>
      </c>
      <c r="C56" s="92">
        <v>37</v>
      </c>
      <c r="D56" s="35" t="s">
        <v>73</v>
      </c>
      <c r="E56" s="35" t="s">
        <v>399</v>
      </c>
      <c r="F56" s="35" t="s">
        <v>400</v>
      </c>
      <c r="G56" s="35" t="s">
        <v>401</v>
      </c>
      <c r="H56" s="35" t="s">
        <v>402</v>
      </c>
      <c r="I56" s="35" t="s">
        <v>403</v>
      </c>
      <c r="J56" s="35" t="s">
        <v>402</v>
      </c>
      <c r="K56" s="35" t="s">
        <v>82</v>
      </c>
      <c r="L56" s="35" t="s">
        <v>404</v>
      </c>
      <c r="M56" s="35" t="s">
        <v>95</v>
      </c>
      <c r="O56" s="35" t="s">
        <v>74</v>
      </c>
    </row>
    <row r="57" spans="1:15" ht="105" hidden="1" x14ac:dyDescent="0.25">
      <c r="A57" s="35">
        <v>62</v>
      </c>
      <c r="B57" s="92">
        <v>2</v>
      </c>
      <c r="C57" s="92">
        <v>38</v>
      </c>
      <c r="D57" s="35" t="s">
        <v>73</v>
      </c>
      <c r="E57" s="35" t="s">
        <v>405</v>
      </c>
      <c r="F57" s="35" t="s">
        <v>406</v>
      </c>
      <c r="G57" s="35" t="s">
        <v>407</v>
      </c>
      <c r="H57" s="35" t="s">
        <v>408</v>
      </c>
      <c r="I57" s="35" t="s">
        <v>409</v>
      </c>
      <c r="J57" s="35" t="s">
        <v>406</v>
      </c>
      <c r="K57" s="35" t="s">
        <v>69</v>
      </c>
      <c r="L57" s="35" t="s">
        <v>410</v>
      </c>
      <c r="M57" s="35" t="s">
        <v>95</v>
      </c>
      <c r="O57" s="35" t="s">
        <v>74</v>
      </c>
    </row>
    <row r="58" spans="1:15" ht="135" hidden="1" x14ac:dyDescent="0.25">
      <c r="A58" s="35">
        <v>63</v>
      </c>
      <c r="B58" s="92">
        <v>5</v>
      </c>
      <c r="C58" s="92">
        <v>16</v>
      </c>
      <c r="D58" s="35" t="s">
        <v>3689</v>
      </c>
      <c r="E58" s="35" t="s">
        <v>411</v>
      </c>
      <c r="F58" s="35" t="s">
        <v>412</v>
      </c>
      <c r="G58" s="35" t="s">
        <v>413</v>
      </c>
      <c r="H58" s="35" t="s">
        <v>414</v>
      </c>
      <c r="I58" s="35" t="s">
        <v>415</v>
      </c>
      <c r="J58" s="35" t="s">
        <v>413</v>
      </c>
      <c r="K58" s="35" t="s">
        <v>101</v>
      </c>
      <c r="L58" s="35" t="s">
        <v>416</v>
      </c>
      <c r="M58" s="35" t="s">
        <v>95</v>
      </c>
      <c r="O58" s="35" t="s">
        <v>86</v>
      </c>
    </row>
    <row r="59" spans="1:15" ht="90" hidden="1" x14ac:dyDescent="0.25">
      <c r="A59" s="35">
        <v>64</v>
      </c>
      <c r="B59" s="92">
        <v>2</v>
      </c>
      <c r="C59" s="92">
        <v>39</v>
      </c>
      <c r="D59" s="35" t="s">
        <v>73</v>
      </c>
      <c r="E59" s="35" t="s">
        <v>417</v>
      </c>
      <c r="F59" s="35" t="s">
        <v>418</v>
      </c>
      <c r="G59" s="35" t="s">
        <v>419</v>
      </c>
      <c r="H59" s="35" t="s">
        <v>420</v>
      </c>
      <c r="I59" s="35" t="s">
        <v>421</v>
      </c>
      <c r="J59" s="35" t="s">
        <v>421</v>
      </c>
      <c r="K59" s="35" t="s">
        <v>114</v>
      </c>
      <c r="L59" s="35" t="s">
        <v>422</v>
      </c>
      <c r="M59" s="35" t="s">
        <v>95</v>
      </c>
      <c r="O59" s="35" t="s">
        <v>74</v>
      </c>
    </row>
    <row r="60" spans="1:15" ht="105" x14ac:dyDescent="0.25">
      <c r="A60" s="35">
        <v>65</v>
      </c>
      <c r="B60" s="92">
        <v>1</v>
      </c>
      <c r="C60" s="92">
        <v>3</v>
      </c>
      <c r="D60" s="35" t="s">
        <v>73</v>
      </c>
      <c r="E60" s="35" t="s">
        <v>423</v>
      </c>
      <c r="F60" s="35" t="s">
        <v>424</v>
      </c>
      <c r="G60" s="35" t="s">
        <v>425</v>
      </c>
      <c r="H60" s="35" t="s">
        <v>426</v>
      </c>
      <c r="I60" s="35" t="s">
        <v>427</v>
      </c>
      <c r="J60" s="35" t="s">
        <v>424</v>
      </c>
      <c r="K60" s="35" t="s">
        <v>69</v>
      </c>
      <c r="L60" s="35" t="s">
        <v>428</v>
      </c>
      <c r="M60" s="35" t="s">
        <v>72</v>
      </c>
      <c r="O60" s="35" t="s">
        <v>86</v>
      </c>
    </row>
    <row r="61" spans="1:15" ht="75" x14ac:dyDescent="0.25">
      <c r="A61" s="35">
        <v>66</v>
      </c>
      <c r="B61" s="92">
        <v>1</v>
      </c>
      <c r="C61" s="92">
        <v>4</v>
      </c>
      <c r="D61" s="35" t="s">
        <v>73</v>
      </c>
      <c r="E61" s="35" t="s">
        <v>429</v>
      </c>
      <c r="F61" s="35" t="s">
        <v>430</v>
      </c>
      <c r="G61" s="35" t="s">
        <v>431</v>
      </c>
      <c r="H61" s="35" t="s">
        <v>432</v>
      </c>
      <c r="I61" s="35" t="s">
        <v>433</v>
      </c>
      <c r="J61" s="35" t="s">
        <v>430</v>
      </c>
      <c r="K61" s="35" t="s">
        <v>69</v>
      </c>
      <c r="L61" s="35" t="s">
        <v>434</v>
      </c>
      <c r="M61" s="35" t="s">
        <v>72</v>
      </c>
      <c r="O61" s="35" t="s">
        <v>122</v>
      </c>
    </row>
    <row r="62" spans="1:15" ht="165" hidden="1" x14ac:dyDescent="0.25">
      <c r="A62" s="35">
        <v>67</v>
      </c>
      <c r="B62" s="92">
        <v>5</v>
      </c>
      <c r="C62" s="92">
        <v>17</v>
      </c>
      <c r="D62" s="35" t="s">
        <v>3689</v>
      </c>
      <c r="E62" s="35" t="s">
        <v>435</v>
      </c>
      <c r="F62" s="35" t="s">
        <v>436</v>
      </c>
      <c r="G62" s="35" t="s">
        <v>437</v>
      </c>
      <c r="H62" s="35" t="s">
        <v>438</v>
      </c>
      <c r="I62" s="35" t="s">
        <v>439</v>
      </c>
      <c r="J62" s="35" t="s">
        <v>436</v>
      </c>
      <c r="K62" s="35" t="s">
        <v>69</v>
      </c>
      <c r="L62" s="35" t="s">
        <v>440</v>
      </c>
      <c r="M62" s="35" t="s">
        <v>72</v>
      </c>
      <c r="O62" s="35" t="s">
        <v>122</v>
      </c>
    </row>
    <row r="63" spans="1:15" ht="90" x14ac:dyDescent="0.25">
      <c r="A63" s="35">
        <v>68</v>
      </c>
      <c r="B63" s="92">
        <v>1</v>
      </c>
      <c r="C63" s="92">
        <v>5</v>
      </c>
      <c r="D63" s="35" t="s">
        <v>73</v>
      </c>
      <c r="E63" s="35" t="s">
        <v>441</v>
      </c>
      <c r="F63" s="35" t="s">
        <v>442</v>
      </c>
      <c r="G63" s="35" t="s">
        <v>443</v>
      </c>
      <c r="H63" s="35" t="s">
        <v>444</v>
      </c>
      <c r="I63" s="35" t="s">
        <v>445</v>
      </c>
      <c r="J63" s="35" t="s">
        <v>442</v>
      </c>
      <c r="K63" s="35" t="s">
        <v>69</v>
      </c>
      <c r="L63" s="35" t="s">
        <v>446</v>
      </c>
      <c r="M63" s="35" t="s">
        <v>72</v>
      </c>
      <c r="O63" s="35" t="s">
        <v>74</v>
      </c>
    </row>
    <row r="64" spans="1:15" ht="90" x14ac:dyDescent="0.25">
      <c r="A64" s="35">
        <v>70</v>
      </c>
      <c r="B64" s="92">
        <v>1</v>
      </c>
      <c r="C64" s="92">
        <v>6</v>
      </c>
      <c r="D64" s="35" t="s">
        <v>73</v>
      </c>
      <c r="E64" s="35" t="s">
        <v>447</v>
      </c>
      <c r="F64" s="35" t="s">
        <v>448</v>
      </c>
      <c r="G64" s="35" t="s">
        <v>124</v>
      </c>
      <c r="H64" s="35" t="s">
        <v>449</v>
      </c>
      <c r="I64" s="35" t="s">
        <v>126</v>
      </c>
      <c r="J64" s="35" t="s">
        <v>124</v>
      </c>
      <c r="K64" s="35" t="s">
        <v>101</v>
      </c>
      <c r="L64" s="35" t="s">
        <v>450</v>
      </c>
      <c r="M64" s="35" t="s">
        <v>72</v>
      </c>
      <c r="O64" s="35" t="s">
        <v>74</v>
      </c>
    </row>
    <row r="65" spans="1:15" ht="120" x14ac:dyDescent="0.25">
      <c r="A65" s="35">
        <v>71</v>
      </c>
      <c r="B65" s="92">
        <v>1</v>
      </c>
      <c r="C65" s="92">
        <v>7</v>
      </c>
      <c r="D65" s="35" t="s">
        <v>73</v>
      </c>
      <c r="E65" s="35" t="s">
        <v>451</v>
      </c>
      <c r="F65" s="35" t="s">
        <v>452</v>
      </c>
      <c r="G65" s="35" t="s">
        <v>453</v>
      </c>
      <c r="H65" s="35" t="s">
        <v>454</v>
      </c>
      <c r="I65" s="35" t="s">
        <v>455</v>
      </c>
      <c r="J65" s="35" t="s">
        <v>452</v>
      </c>
      <c r="K65" s="35" t="s">
        <v>69</v>
      </c>
      <c r="L65" s="35" t="s">
        <v>456</v>
      </c>
      <c r="M65" s="35" t="s">
        <v>72</v>
      </c>
      <c r="O65" s="35" t="s">
        <v>86</v>
      </c>
    </row>
    <row r="66" spans="1:15" ht="75" x14ac:dyDescent="0.25">
      <c r="A66" s="35">
        <v>72</v>
      </c>
      <c r="B66" s="92">
        <v>1</v>
      </c>
      <c r="C66" s="92">
        <v>8</v>
      </c>
      <c r="D66" s="35" t="s">
        <v>73</v>
      </c>
      <c r="E66" s="35" t="s">
        <v>457</v>
      </c>
      <c r="F66" s="35" t="s">
        <v>458</v>
      </c>
      <c r="G66" s="35" t="s">
        <v>459</v>
      </c>
      <c r="H66" s="35" t="s">
        <v>460</v>
      </c>
      <c r="I66" s="35" t="s">
        <v>461</v>
      </c>
      <c r="J66" s="35" t="s">
        <v>459</v>
      </c>
      <c r="K66" s="35" t="s">
        <v>101</v>
      </c>
      <c r="L66" s="35" t="s">
        <v>462</v>
      </c>
      <c r="M66" s="35" t="s">
        <v>72</v>
      </c>
      <c r="O66" s="35" t="s">
        <v>86</v>
      </c>
    </row>
    <row r="67" spans="1:15" ht="120" hidden="1" x14ac:dyDescent="0.25">
      <c r="A67" s="35">
        <v>73</v>
      </c>
      <c r="B67" s="92">
        <v>5</v>
      </c>
      <c r="C67" s="92">
        <v>18</v>
      </c>
      <c r="D67" s="35" t="s">
        <v>3689</v>
      </c>
      <c r="E67" s="35" t="s">
        <v>463</v>
      </c>
      <c r="F67" s="35" t="s">
        <v>464</v>
      </c>
      <c r="G67" s="35" t="s">
        <v>465</v>
      </c>
      <c r="H67" s="35" t="s">
        <v>466</v>
      </c>
      <c r="I67" s="35" t="s">
        <v>467</v>
      </c>
      <c r="J67" s="35" t="s">
        <v>466</v>
      </c>
      <c r="K67" s="35" t="s">
        <v>82</v>
      </c>
      <c r="L67" s="35" t="s">
        <v>468</v>
      </c>
      <c r="M67" s="35" t="s">
        <v>72</v>
      </c>
      <c r="O67" s="35" t="s">
        <v>86</v>
      </c>
    </row>
    <row r="68" spans="1:15" ht="90" x14ac:dyDescent="0.25">
      <c r="A68" s="35">
        <v>74</v>
      </c>
      <c r="B68" s="92">
        <v>1</v>
      </c>
      <c r="C68" s="92">
        <v>9</v>
      </c>
      <c r="D68" s="35" t="s">
        <v>73</v>
      </c>
      <c r="E68" s="35" t="s">
        <v>469</v>
      </c>
      <c r="F68" s="35" t="s">
        <v>470</v>
      </c>
      <c r="G68" s="35" t="s">
        <v>471</v>
      </c>
      <c r="H68" s="35" t="s">
        <v>472</v>
      </c>
      <c r="I68" s="35" t="s">
        <v>473</v>
      </c>
      <c r="J68" s="35" t="s">
        <v>472</v>
      </c>
      <c r="K68" s="35" t="s">
        <v>82</v>
      </c>
      <c r="L68" s="35" t="s">
        <v>474</v>
      </c>
      <c r="M68" s="35" t="s">
        <v>72</v>
      </c>
      <c r="O68" s="35" t="s">
        <v>122</v>
      </c>
    </row>
    <row r="69" spans="1:15" ht="150" x14ac:dyDescent="0.25">
      <c r="A69" s="35">
        <v>76</v>
      </c>
      <c r="B69" s="92">
        <v>1</v>
      </c>
      <c r="C69" s="92">
        <v>10</v>
      </c>
      <c r="D69" s="35" t="s">
        <v>73</v>
      </c>
      <c r="E69" s="35" t="s">
        <v>476</v>
      </c>
      <c r="F69" s="35" t="s">
        <v>477</v>
      </c>
      <c r="G69" s="35" t="s">
        <v>478</v>
      </c>
      <c r="H69" s="35" t="s">
        <v>479</v>
      </c>
      <c r="I69" s="35" t="s">
        <v>480</v>
      </c>
      <c r="J69" s="35" t="s">
        <v>480</v>
      </c>
      <c r="K69" s="35" t="s">
        <v>114</v>
      </c>
      <c r="L69" s="35" t="s">
        <v>481</v>
      </c>
      <c r="M69" s="35" t="s">
        <v>72</v>
      </c>
      <c r="O69" s="35" t="s">
        <v>74</v>
      </c>
    </row>
    <row r="70" spans="1:15" ht="105" x14ac:dyDescent="0.25">
      <c r="A70" s="35">
        <v>77</v>
      </c>
      <c r="B70" s="92">
        <v>1</v>
      </c>
      <c r="C70" s="92">
        <v>11</v>
      </c>
      <c r="D70" s="35" t="s">
        <v>73</v>
      </c>
      <c r="E70" s="35" t="s">
        <v>482</v>
      </c>
      <c r="F70" s="35" t="s">
        <v>483</v>
      </c>
      <c r="G70" s="35" t="s">
        <v>484</v>
      </c>
      <c r="H70" s="35" t="s">
        <v>485</v>
      </c>
      <c r="I70" s="35" t="s">
        <v>486</v>
      </c>
      <c r="J70" s="35" t="s">
        <v>485</v>
      </c>
      <c r="K70" s="35" t="s">
        <v>82</v>
      </c>
      <c r="L70" s="35" t="s">
        <v>487</v>
      </c>
      <c r="M70" s="35" t="s">
        <v>72</v>
      </c>
      <c r="O70" s="35" t="s">
        <v>86</v>
      </c>
    </row>
    <row r="71" spans="1:15" ht="120" hidden="1" x14ac:dyDescent="0.25">
      <c r="A71" s="35">
        <v>78</v>
      </c>
      <c r="B71" s="92">
        <v>5</v>
      </c>
      <c r="C71" s="92">
        <v>19</v>
      </c>
      <c r="D71" s="35" t="s">
        <v>3689</v>
      </c>
      <c r="E71" s="35" t="s">
        <v>488</v>
      </c>
      <c r="F71" s="35" t="s">
        <v>489</v>
      </c>
      <c r="G71" s="35" t="s">
        <v>490</v>
      </c>
      <c r="H71" s="35" t="s">
        <v>491</v>
      </c>
      <c r="I71" s="35" t="s">
        <v>492</v>
      </c>
      <c r="J71" s="35" t="s">
        <v>491</v>
      </c>
      <c r="K71" s="35" t="s">
        <v>82</v>
      </c>
      <c r="L71" s="35" t="s">
        <v>493</v>
      </c>
      <c r="M71" s="35" t="s">
        <v>72</v>
      </c>
      <c r="O71" s="35" t="s">
        <v>86</v>
      </c>
    </row>
    <row r="72" spans="1:15" ht="120" x14ac:dyDescent="0.25">
      <c r="A72" s="35">
        <v>79</v>
      </c>
      <c r="B72" s="92">
        <v>1</v>
      </c>
      <c r="C72" s="92">
        <v>12</v>
      </c>
      <c r="D72" s="35" t="s">
        <v>73</v>
      </c>
      <c r="E72" s="35" t="s">
        <v>494</v>
      </c>
      <c r="F72" s="35" t="s">
        <v>495</v>
      </c>
      <c r="G72" s="35" t="s">
        <v>496</v>
      </c>
      <c r="H72" s="35" t="s">
        <v>497</v>
      </c>
      <c r="I72" s="35" t="s">
        <v>498</v>
      </c>
      <c r="J72" s="35" t="s">
        <v>496</v>
      </c>
      <c r="K72" s="35" t="s">
        <v>101</v>
      </c>
      <c r="L72" s="35" t="s">
        <v>499</v>
      </c>
      <c r="M72" s="35" t="s">
        <v>72</v>
      </c>
      <c r="O72" s="35" t="s">
        <v>74</v>
      </c>
    </row>
    <row r="73" spans="1:15" ht="180" x14ac:dyDescent="0.25">
      <c r="A73" s="35">
        <v>80</v>
      </c>
      <c r="B73" s="92">
        <v>1</v>
      </c>
      <c r="C73" s="92">
        <v>13</v>
      </c>
      <c r="D73" s="35" t="s">
        <v>73</v>
      </c>
      <c r="E73" s="35" t="s">
        <v>500</v>
      </c>
      <c r="F73" s="35" t="s">
        <v>501</v>
      </c>
      <c r="G73" s="35" t="s">
        <v>502</v>
      </c>
      <c r="H73" s="35" t="s">
        <v>503</v>
      </c>
      <c r="I73" s="35" t="s">
        <v>504</v>
      </c>
      <c r="J73" s="35" t="s">
        <v>504</v>
      </c>
      <c r="K73" s="35" t="s">
        <v>114</v>
      </c>
      <c r="L73" s="35" t="s">
        <v>505</v>
      </c>
      <c r="M73" s="35" t="s">
        <v>72</v>
      </c>
      <c r="O73" s="35" t="s">
        <v>74</v>
      </c>
    </row>
    <row r="74" spans="1:15" ht="120" hidden="1" x14ac:dyDescent="0.25">
      <c r="A74" s="35">
        <v>81</v>
      </c>
      <c r="B74" s="92">
        <v>5</v>
      </c>
      <c r="C74" s="92">
        <v>20</v>
      </c>
      <c r="D74" s="35" t="s">
        <v>3689</v>
      </c>
      <c r="E74" s="35" t="s">
        <v>506</v>
      </c>
      <c r="F74" s="35" t="s">
        <v>507</v>
      </c>
      <c r="G74" s="35" t="s">
        <v>508</v>
      </c>
      <c r="H74" s="35" t="s">
        <v>509</v>
      </c>
      <c r="I74" s="35" t="s">
        <v>510</v>
      </c>
      <c r="J74" s="35" t="s">
        <v>508</v>
      </c>
      <c r="K74" s="35" t="s">
        <v>101</v>
      </c>
      <c r="L74" s="35" t="s">
        <v>511</v>
      </c>
      <c r="M74" s="35" t="s">
        <v>72</v>
      </c>
      <c r="O74" s="35" t="s">
        <v>74</v>
      </c>
    </row>
    <row r="75" spans="1:15" ht="60" x14ac:dyDescent="0.25">
      <c r="A75" s="35">
        <v>82</v>
      </c>
      <c r="B75" s="92">
        <v>1</v>
      </c>
      <c r="C75" s="92">
        <v>14</v>
      </c>
      <c r="D75" s="35" t="s">
        <v>73</v>
      </c>
      <c r="E75" s="35" t="s">
        <v>512</v>
      </c>
      <c r="F75" s="35" t="s">
        <v>513</v>
      </c>
      <c r="G75" s="35" t="s">
        <v>514</v>
      </c>
      <c r="H75" s="35" t="s">
        <v>515</v>
      </c>
      <c r="I75" s="35" t="s">
        <v>516</v>
      </c>
      <c r="J75" s="35" t="s">
        <v>516</v>
      </c>
      <c r="K75" s="35" t="s">
        <v>114</v>
      </c>
      <c r="L75" s="35" t="s">
        <v>517</v>
      </c>
      <c r="M75" s="35" t="s">
        <v>72</v>
      </c>
      <c r="O75" s="35" t="s">
        <v>74</v>
      </c>
    </row>
    <row r="76" spans="1:15" ht="120" x14ac:dyDescent="0.25">
      <c r="A76" s="35">
        <v>83</v>
      </c>
      <c r="B76" s="92">
        <v>1</v>
      </c>
      <c r="C76" s="92">
        <v>15</v>
      </c>
      <c r="D76" s="35" t="s">
        <v>73</v>
      </c>
      <c r="E76" s="35" t="s">
        <v>518</v>
      </c>
      <c r="F76" s="35" t="s">
        <v>519</v>
      </c>
      <c r="G76" s="35" t="s">
        <v>520</v>
      </c>
      <c r="H76" s="35" t="s">
        <v>521</v>
      </c>
      <c r="I76" s="35" t="s">
        <v>522</v>
      </c>
      <c r="J76" s="35" t="s">
        <v>521</v>
      </c>
      <c r="K76" s="35" t="s">
        <v>82</v>
      </c>
      <c r="L76" s="35" t="s">
        <v>523</v>
      </c>
      <c r="M76" s="35" t="s">
        <v>72</v>
      </c>
      <c r="O76" s="35" t="s">
        <v>74</v>
      </c>
    </row>
    <row r="77" spans="1:15" ht="105" hidden="1" x14ac:dyDescent="0.25">
      <c r="A77" s="35">
        <v>84</v>
      </c>
      <c r="B77" s="92">
        <v>5</v>
      </c>
      <c r="C77" s="92">
        <v>21</v>
      </c>
      <c r="D77" s="35" t="s">
        <v>3689</v>
      </c>
      <c r="E77" s="35" t="s">
        <v>524</v>
      </c>
      <c r="F77" s="35" t="s">
        <v>525</v>
      </c>
      <c r="G77" s="35" t="s">
        <v>526</v>
      </c>
      <c r="H77" s="35" t="s">
        <v>527</v>
      </c>
      <c r="I77" s="35" t="s">
        <v>528</v>
      </c>
      <c r="J77" s="35" t="s">
        <v>525</v>
      </c>
      <c r="K77" s="35" t="s">
        <v>69</v>
      </c>
      <c r="L77" s="35" t="s">
        <v>529</v>
      </c>
      <c r="M77" s="35" t="s">
        <v>72</v>
      </c>
      <c r="O77" s="35" t="s">
        <v>122</v>
      </c>
    </row>
    <row r="78" spans="1:15" ht="135" hidden="1" x14ac:dyDescent="0.25">
      <c r="A78" s="35">
        <v>85</v>
      </c>
      <c r="B78" s="92">
        <v>3</v>
      </c>
      <c r="C78" s="92">
        <v>1</v>
      </c>
      <c r="D78" s="35" t="s">
        <v>73</v>
      </c>
      <c r="E78" s="35" t="s">
        <v>530</v>
      </c>
      <c r="F78" s="35" t="s">
        <v>531</v>
      </c>
      <c r="G78" s="35" t="s">
        <v>532</v>
      </c>
      <c r="H78" s="35" t="s">
        <v>533</v>
      </c>
      <c r="I78" s="35" t="s">
        <v>534</v>
      </c>
      <c r="J78" s="35" t="s">
        <v>532</v>
      </c>
      <c r="K78" s="35" t="s">
        <v>101</v>
      </c>
      <c r="L78" s="35" t="s">
        <v>535</v>
      </c>
      <c r="M78" s="35" t="s">
        <v>536</v>
      </c>
      <c r="O78" s="35" t="s">
        <v>122</v>
      </c>
    </row>
    <row r="79" spans="1:15" ht="105" hidden="1" x14ac:dyDescent="0.25">
      <c r="A79" s="35">
        <v>86</v>
      </c>
      <c r="B79" s="92">
        <v>3</v>
      </c>
      <c r="C79" s="92">
        <v>2</v>
      </c>
      <c r="D79" s="35" t="s">
        <v>73</v>
      </c>
      <c r="E79" s="35" t="s">
        <v>537</v>
      </c>
      <c r="F79" s="35" t="s">
        <v>538</v>
      </c>
      <c r="G79" s="35" t="s">
        <v>539</v>
      </c>
      <c r="H79" s="35" t="s">
        <v>540</v>
      </c>
      <c r="I79" s="35" t="s">
        <v>541</v>
      </c>
      <c r="J79" s="35" t="s">
        <v>540</v>
      </c>
      <c r="K79" s="35" t="s">
        <v>82</v>
      </c>
      <c r="L79" s="35" t="s">
        <v>542</v>
      </c>
      <c r="M79" s="35" t="s">
        <v>536</v>
      </c>
      <c r="O79" s="35" t="s">
        <v>86</v>
      </c>
    </row>
    <row r="80" spans="1:15" ht="150" hidden="1" x14ac:dyDescent="0.25">
      <c r="A80" s="35">
        <v>87</v>
      </c>
      <c r="B80" s="92">
        <v>3</v>
      </c>
      <c r="C80" s="92">
        <v>3</v>
      </c>
      <c r="D80" s="35" t="s">
        <v>73</v>
      </c>
      <c r="E80" s="35" t="s">
        <v>543</v>
      </c>
      <c r="F80" s="35" t="s">
        <v>544</v>
      </c>
      <c r="G80" s="35" t="s">
        <v>545</v>
      </c>
      <c r="H80" s="35" t="s">
        <v>546</v>
      </c>
      <c r="I80" s="35" t="s">
        <v>547</v>
      </c>
      <c r="J80" s="35" t="s">
        <v>547</v>
      </c>
      <c r="K80" s="35" t="s">
        <v>114</v>
      </c>
      <c r="L80" s="35" t="s">
        <v>548</v>
      </c>
      <c r="M80" s="35" t="s">
        <v>536</v>
      </c>
      <c r="O80" s="35" t="s">
        <v>122</v>
      </c>
    </row>
    <row r="81" spans="1:15" ht="120" hidden="1" x14ac:dyDescent="0.25">
      <c r="A81" s="35">
        <v>88</v>
      </c>
      <c r="B81" s="92">
        <v>3</v>
      </c>
      <c r="C81" s="92">
        <v>4</v>
      </c>
      <c r="D81" s="35" t="s">
        <v>73</v>
      </c>
      <c r="E81" s="35" t="s">
        <v>549</v>
      </c>
      <c r="F81" s="35" t="s">
        <v>550</v>
      </c>
      <c r="G81" s="35" t="s">
        <v>551</v>
      </c>
      <c r="H81" s="35" t="s">
        <v>552</v>
      </c>
      <c r="I81" s="35" t="s">
        <v>553</v>
      </c>
      <c r="J81" s="35" t="s">
        <v>552</v>
      </c>
      <c r="K81" s="35" t="s">
        <v>82</v>
      </c>
      <c r="L81" s="35" t="s">
        <v>554</v>
      </c>
      <c r="M81" s="35" t="s">
        <v>536</v>
      </c>
      <c r="O81" s="35" t="s">
        <v>86</v>
      </c>
    </row>
    <row r="82" spans="1:15" ht="180" hidden="1" x14ac:dyDescent="0.25">
      <c r="A82" s="35">
        <v>89</v>
      </c>
      <c r="B82" s="92">
        <v>3</v>
      </c>
      <c r="C82" s="92">
        <v>5</v>
      </c>
      <c r="D82" s="35" t="s">
        <v>73</v>
      </c>
      <c r="E82" s="35" t="s">
        <v>555</v>
      </c>
      <c r="F82" s="35" t="s">
        <v>556</v>
      </c>
      <c r="G82" s="35" t="s">
        <v>557</v>
      </c>
      <c r="H82" s="35" t="s">
        <v>558</v>
      </c>
      <c r="I82" s="35" t="s">
        <v>559</v>
      </c>
      <c r="J82" s="35" t="s">
        <v>557</v>
      </c>
      <c r="K82" s="35" t="s">
        <v>101</v>
      </c>
      <c r="L82" s="35" t="s">
        <v>560</v>
      </c>
      <c r="M82" s="35" t="s">
        <v>536</v>
      </c>
      <c r="O82" s="35" t="s">
        <v>122</v>
      </c>
    </row>
    <row r="83" spans="1:15" ht="105" hidden="1" x14ac:dyDescent="0.25">
      <c r="A83" s="35">
        <v>90</v>
      </c>
      <c r="B83" s="92">
        <v>5</v>
      </c>
      <c r="C83" s="92">
        <v>22</v>
      </c>
      <c r="D83" s="35" t="s">
        <v>3689</v>
      </c>
      <c r="E83" s="35" t="s">
        <v>561</v>
      </c>
      <c r="F83" s="35" t="s">
        <v>562</v>
      </c>
      <c r="G83" s="35" t="s">
        <v>563</v>
      </c>
      <c r="H83" s="35" t="s">
        <v>564</v>
      </c>
      <c r="I83" s="35" t="s">
        <v>565</v>
      </c>
      <c r="J83" s="35" t="s">
        <v>562</v>
      </c>
      <c r="K83" s="35" t="s">
        <v>69</v>
      </c>
      <c r="L83" s="35" t="s">
        <v>566</v>
      </c>
      <c r="M83" s="35" t="s">
        <v>536</v>
      </c>
      <c r="O83" s="35" t="s">
        <v>86</v>
      </c>
    </row>
    <row r="84" spans="1:15" ht="90" hidden="1" x14ac:dyDescent="0.25">
      <c r="A84" s="35">
        <v>91</v>
      </c>
      <c r="B84" s="92">
        <v>3</v>
      </c>
      <c r="C84" s="92">
        <v>6</v>
      </c>
      <c r="D84" s="35" t="s">
        <v>73</v>
      </c>
      <c r="E84" s="35" t="s">
        <v>567</v>
      </c>
      <c r="F84" s="35" t="s">
        <v>568</v>
      </c>
      <c r="G84" s="35" t="s">
        <v>569</v>
      </c>
      <c r="H84" s="35" t="s">
        <v>570</v>
      </c>
      <c r="I84" s="35" t="s">
        <v>571</v>
      </c>
      <c r="J84" s="35" t="s">
        <v>569</v>
      </c>
      <c r="K84" s="35" t="s">
        <v>101</v>
      </c>
      <c r="L84" s="35" t="s">
        <v>572</v>
      </c>
      <c r="M84" s="35" t="s">
        <v>536</v>
      </c>
      <c r="O84" s="35" t="s">
        <v>74</v>
      </c>
    </row>
    <row r="85" spans="1:15" ht="75" hidden="1" x14ac:dyDescent="0.25">
      <c r="A85" s="35">
        <v>92</v>
      </c>
      <c r="B85" s="92">
        <v>5</v>
      </c>
      <c r="C85" s="92">
        <v>23</v>
      </c>
      <c r="D85" s="35" t="s">
        <v>3689</v>
      </c>
      <c r="E85" s="35" t="s">
        <v>573</v>
      </c>
      <c r="F85" s="35" t="s">
        <v>574</v>
      </c>
      <c r="G85" s="35" t="s">
        <v>575</v>
      </c>
      <c r="H85" s="35" t="s">
        <v>576</v>
      </c>
      <c r="I85" s="35" t="s">
        <v>577</v>
      </c>
      <c r="J85" s="35" t="s">
        <v>577</v>
      </c>
      <c r="K85" s="35" t="s">
        <v>114</v>
      </c>
      <c r="L85" s="35" t="s">
        <v>578</v>
      </c>
      <c r="M85" s="35" t="s">
        <v>536</v>
      </c>
      <c r="O85" s="35" t="s">
        <v>122</v>
      </c>
    </row>
    <row r="86" spans="1:15" ht="75" hidden="1" x14ac:dyDescent="0.25">
      <c r="A86" s="35">
        <v>93</v>
      </c>
      <c r="B86" s="92">
        <v>3</v>
      </c>
      <c r="C86" s="92">
        <v>7</v>
      </c>
      <c r="D86" s="35" t="s">
        <v>73</v>
      </c>
      <c r="E86" s="35" t="s">
        <v>579</v>
      </c>
      <c r="F86" s="35" t="s">
        <v>580</v>
      </c>
      <c r="G86" s="35" t="s">
        <v>581</v>
      </c>
      <c r="H86" s="35" t="s">
        <v>582</v>
      </c>
      <c r="I86" s="35" t="s">
        <v>583</v>
      </c>
      <c r="J86" s="35" t="s">
        <v>582</v>
      </c>
      <c r="K86" s="35" t="s">
        <v>82</v>
      </c>
      <c r="L86" s="35" t="s">
        <v>584</v>
      </c>
      <c r="M86" s="35" t="s">
        <v>536</v>
      </c>
      <c r="O86" s="35" t="s">
        <v>86</v>
      </c>
    </row>
    <row r="87" spans="1:15" ht="90" hidden="1" x14ac:dyDescent="0.25">
      <c r="A87" s="35">
        <v>94</v>
      </c>
      <c r="B87" s="92">
        <v>3</v>
      </c>
      <c r="C87" s="92">
        <v>8</v>
      </c>
      <c r="D87" s="35" t="s">
        <v>73</v>
      </c>
      <c r="E87" s="35" t="s">
        <v>585</v>
      </c>
      <c r="F87" s="35" t="s">
        <v>586</v>
      </c>
      <c r="G87" s="35" t="s">
        <v>587</v>
      </c>
      <c r="H87" s="35" t="s">
        <v>588</v>
      </c>
      <c r="I87" s="35" t="s">
        <v>568</v>
      </c>
      <c r="J87" s="35" t="s">
        <v>586</v>
      </c>
      <c r="K87" s="35" t="s">
        <v>69</v>
      </c>
      <c r="L87" s="35" t="s">
        <v>589</v>
      </c>
      <c r="M87" s="35" t="s">
        <v>536</v>
      </c>
      <c r="O87" s="35" t="s">
        <v>86</v>
      </c>
    </row>
    <row r="88" spans="1:15" ht="165" hidden="1" x14ac:dyDescent="0.25">
      <c r="A88" s="35">
        <v>95</v>
      </c>
      <c r="B88" s="92">
        <v>3</v>
      </c>
      <c r="C88" s="92">
        <v>9</v>
      </c>
      <c r="D88" s="35" t="s">
        <v>73</v>
      </c>
      <c r="E88" s="35" t="s">
        <v>590</v>
      </c>
      <c r="F88" s="35" t="s">
        <v>591</v>
      </c>
      <c r="G88" s="35" t="s">
        <v>592</v>
      </c>
      <c r="H88" s="35" t="s">
        <v>593</v>
      </c>
      <c r="I88" s="35" t="s">
        <v>594</v>
      </c>
      <c r="J88" s="35" t="s">
        <v>592</v>
      </c>
      <c r="K88" s="35" t="s">
        <v>101</v>
      </c>
      <c r="L88" s="35" t="s">
        <v>595</v>
      </c>
      <c r="M88" s="35" t="s">
        <v>536</v>
      </c>
      <c r="O88" s="35" t="s">
        <v>122</v>
      </c>
    </row>
    <row r="89" spans="1:15" ht="90" hidden="1" x14ac:dyDescent="0.25">
      <c r="A89" s="35">
        <v>96</v>
      </c>
      <c r="B89" s="92">
        <v>3</v>
      </c>
      <c r="C89" s="92">
        <v>10</v>
      </c>
      <c r="D89" s="35" t="s">
        <v>73</v>
      </c>
      <c r="E89" s="35" t="s">
        <v>596</v>
      </c>
      <c r="F89" s="35" t="s">
        <v>597</v>
      </c>
      <c r="G89" s="35" t="s">
        <v>598</v>
      </c>
      <c r="H89" s="35" t="s">
        <v>599</v>
      </c>
      <c r="I89" s="35" t="s">
        <v>600</v>
      </c>
      <c r="J89" s="35" t="s">
        <v>600</v>
      </c>
      <c r="K89" s="35" t="s">
        <v>114</v>
      </c>
      <c r="L89" s="35" t="s">
        <v>601</v>
      </c>
      <c r="M89" s="35" t="s">
        <v>536</v>
      </c>
      <c r="O89" s="35" t="s">
        <v>74</v>
      </c>
    </row>
    <row r="90" spans="1:15" ht="120" hidden="1" x14ac:dyDescent="0.25">
      <c r="A90" s="35">
        <v>97</v>
      </c>
      <c r="B90" s="92">
        <v>5</v>
      </c>
      <c r="C90" s="92">
        <v>24</v>
      </c>
      <c r="D90" s="35" t="s">
        <v>3689</v>
      </c>
      <c r="E90" s="35" t="s">
        <v>602</v>
      </c>
      <c r="F90" s="35" t="s">
        <v>603</v>
      </c>
      <c r="G90" s="35" t="s">
        <v>604</v>
      </c>
      <c r="H90" s="35" t="s">
        <v>605</v>
      </c>
      <c r="I90" s="35" t="s">
        <v>606</v>
      </c>
      <c r="J90" s="35" t="s">
        <v>606</v>
      </c>
      <c r="K90" s="35" t="s">
        <v>114</v>
      </c>
      <c r="L90" s="35" t="s">
        <v>607</v>
      </c>
      <c r="M90" s="35" t="s">
        <v>536</v>
      </c>
      <c r="O90" s="35" t="s">
        <v>86</v>
      </c>
    </row>
    <row r="91" spans="1:15" ht="120" hidden="1" x14ac:dyDescent="0.25">
      <c r="A91" s="35">
        <v>98</v>
      </c>
      <c r="B91" s="92">
        <v>3</v>
      </c>
      <c r="C91" s="92">
        <v>11</v>
      </c>
      <c r="D91" s="35" t="s">
        <v>73</v>
      </c>
      <c r="E91" s="35" t="s">
        <v>608</v>
      </c>
      <c r="F91" s="35" t="s">
        <v>609</v>
      </c>
      <c r="G91" s="35" t="s">
        <v>610</v>
      </c>
      <c r="H91" s="35" t="s">
        <v>611</v>
      </c>
      <c r="I91" s="35" t="s">
        <v>612</v>
      </c>
      <c r="J91" s="35" t="s">
        <v>611</v>
      </c>
      <c r="K91" s="35" t="s">
        <v>82</v>
      </c>
      <c r="L91" s="35" t="s">
        <v>613</v>
      </c>
      <c r="M91" s="35" t="s">
        <v>536</v>
      </c>
      <c r="O91" s="35" t="s">
        <v>86</v>
      </c>
    </row>
    <row r="92" spans="1:15" ht="60" hidden="1" x14ac:dyDescent="0.25">
      <c r="A92" s="35">
        <v>99</v>
      </c>
      <c r="B92" s="92">
        <v>3</v>
      </c>
      <c r="C92" s="92">
        <v>12</v>
      </c>
      <c r="D92" s="35" t="s">
        <v>73</v>
      </c>
      <c r="E92" s="35" t="s">
        <v>614</v>
      </c>
      <c r="F92" s="35" t="s">
        <v>615</v>
      </c>
      <c r="G92" s="35" t="s">
        <v>616</v>
      </c>
      <c r="H92" s="35" t="s">
        <v>617</v>
      </c>
      <c r="I92" s="35" t="s">
        <v>618</v>
      </c>
      <c r="J92" s="35" t="s">
        <v>618</v>
      </c>
      <c r="K92" s="35" t="s">
        <v>114</v>
      </c>
      <c r="L92" s="35" t="s">
        <v>619</v>
      </c>
      <c r="M92" s="35" t="s">
        <v>536</v>
      </c>
      <c r="O92" s="35" t="s">
        <v>86</v>
      </c>
    </row>
    <row r="93" spans="1:15" ht="90" hidden="1" x14ac:dyDescent="0.25">
      <c r="A93" s="35">
        <v>100</v>
      </c>
      <c r="B93" s="92">
        <v>5</v>
      </c>
      <c r="C93" s="92">
        <v>25</v>
      </c>
      <c r="D93" s="35" t="s">
        <v>3689</v>
      </c>
      <c r="E93" s="35" t="s">
        <v>620</v>
      </c>
      <c r="F93" s="35" t="s">
        <v>621</v>
      </c>
      <c r="G93" s="35" t="s">
        <v>622</v>
      </c>
      <c r="H93" s="35" t="s">
        <v>623</v>
      </c>
      <c r="I93" s="35" t="s">
        <v>624</v>
      </c>
      <c r="J93" s="35" t="s">
        <v>622</v>
      </c>
      <c r="K93" s="35" t="s">
        <v>101</v>
      </c>
      <c r="L93" s="35" t="s">
        <v>625</v>
      </c>
      <c r="M93" s="35" t="s">
        <v>536</v>
      </c>
      <c r="O93" s="35" t="s">
        <v>86</v>
      </c>
    </row>
    <row r="94" spans="1:15" ht="90" hidden="1" x14ac:dyDescent="0.25">
      <c r="A94" s="35">
        <v>101</v>
      </c>
      <c r="B94" s="92">
        <v>3</v>
      </c>
      <c r="C94" s="92">
        <v>13</v>
      </c>
      <c r="D94" s="35" t="s">
        <v>73</v>
      </c>
      <c r="E94" s="35" t="s">
        <v>626</v>
      </c>
      <c r="F94" s="35" t="s">
        <v>627</v>
      </c>
      <c r="G94" s="35" t="s">
        <v>628</v>
      </c>
      <c r="H94" s="35" t="s">
        <v>629</v>
      </c>
      <c r="I94" s="93" t="s">
        <v>630</v>
      </c>
      <c r="J94" s="35" t="s">
        <v>631</v>
      </c>
      <c r="K94" s="35" t="s">
        <v>69</v>
      </c>
      <c r="L94" s="93" t="s">
        <v>632</v>
      </c>
      <c r="M94" s="35" t="s">
        <v>536</v>
      </c>
      <c r="O94" s="35" t="s">
        <v>122</v>
      </c>
    </row>
    <row r="95" spans="1:15" ht="75" hidden="1" x14ac:dyDescent="0.25">
      <c r="A95" s="35">
        <v>102</v>
      </c>
      <c r="B95" s="92">
        <v>3</v>
      </c>
      <c r="C95" s="92">
        <v>14</v>
      </c>
      <c r="D95" s="35" t="s">
        <v>73</v>
      </c>
      <c r="E95" s="35" t="s">
        <v>633</v>
      </c>
      <c r="F95" s="35" t="s">
        <v>634</v>
      </c>
      <c r="G95" s="35" t="s">
        <v>635</v>
      </c>
      <c r="H95" s="35" t="s">
        <v>636</v>
      </c>
      <c r="I95" s="35" t="s">
        <v>637</v>
      </c>
      <c r="J95" s="35" t="s">
        <v>636</v>
      </c>
      <c r="K95" s="35" t="s">
        <v>82</v>
      </c>
      <c r="L95" s="35" t="s">
        <v>638</v>
      </c>
      <c r="M95" s="35" t="s">
        <v>536</v>
      </c>
      <c r="O95" s="35" t="s">
        <v>86</v>
      </c>
    </row>
    <row r="96" spans="1:15" ht="90" hidden="1" x14ac:dyDescent="0.25">
      <c r="A96" s="35">
        <v>103</v>
      </c>
      <c r="B96" s="92">
        <v>3</v>
      </c>
      <c r="C96" s="92">
        <v>15</v>
      </c>
      <c r="D96" s="35" t="s">
        <v>73</v>
      </c>
      <c r="E96" s="35" t="s">
        <v>639</v>
      </c>
      <c r="F96" s="35" t="s">
        <v>640</v>
      </c>
      <c r="G96" s="35" t="s">
        <v>641</v>
      </c>
      <c r="H96" s="93" t="s">
        <v>642</v>
      </c>
      <c r="I96" s="35" t="s">
        <v>643</v>
      </c>
      <c r="J96" s="35" t="s">
        <v>641</v>
      </c>
      <c r="K96" s="35" t="s">
        <v>101</v>
      </c>
      <c r="L96" s="93" t="s">
        <v>644</v>
      </c>
      <c r="M96" s="35" t="s">
        <v>536</v>
      </c>
      <c r="O96" s="35" t="s">
        <v>86</v>
      </c>
    </row>
    <row r="97" spans="1:15" ht="105" hidden="1" x14ac:dyDescent="0.25">
      <c r="A97" s="35">
        <v>104</v>
      </c>
      <c r="B97" s="92">
        <v>5</v>
      </c>
      <c r="C97" s="92">
        <v>26</v>
      </c>
      <c r="D97" s="35" t="s">
        <v>3689</v>
      </c>
      <c r="E97" s="35" t="s">
        <v>645</v>
      </c>
      <c r="F97" s="35" t="s">
        <v>646</v>
      </c>
      <c r="G97" s="35" t="s">
        <v>647</v>
      </c>
      <c r="H97" s="35" t="s">
        <v>648</v>
      </c>
      <c r="I97" s="35" t="s">
        <v>649</v>
      </c>
      <c r="J97" s="35" t="s">
        <v>648</v>
      </c>
      <c r="K97" s="35" t="s">
        <v>82</v>
      </c>
      <c r="L97" s="35" t="s">
        <v>650</v>
      </c>
      <c r="M97" s="35" t="s">
        <v>536</v>
      </c>
      <c r="O97" s="35" t="s">
        <v>86</v>
      </c>
    </row>
    <row r="98" spans="1:15" ht="135" hidden="1" x14ac:dyDescent="0.25">
      <c r="A98" s="35">
        <v>106</v>
      </c>
      <c r="B98" s="92">
        <v>5</v>
      </c>
      <c r="C98" s="92">
        <v>27</v>
      </c>
      <c r="D98" s="35" t="s">
        <v>3689</v>
      </c>
      <c r="E98" s="35" t="s">
        <v>651</v>
      </c>
      <c r="F98" s="35" t="s">
        <v>652</v>
      </c>
      <c r="G98" s="35" t="s">
        <v>653</v>
      </c>
      <c r="H98" s="35" t="s">
        <v>654</v>
      </c>
      <c r="I98" s="35" t="s">
        <v>655</v>
      </c>
      <c r="J98" s="35" t="s">
        <v>654</v>
      </c>
      <c r="K98" s="35" t="s">
        <v>82</v>
      </c>
      <c r="L98" s="35" t="s">
        <v>656</v>
      </c>
      <c r="M98" s="35" t="s">
        <v>536</v>
      </c>
      <c r="O98" s="35" t="s">
        <v>122</v>
      </c>
    </row>
    <row r="99" spans="1:15" ht="90" hidden="1" x14ac:dyDescent="0.25">
      <c r="A99" s="35">
        <v>107</v>
      </c>
      <c r="B99" s="92">
        <v>3</v>
      </c>
      <c r="C99" s="92">
        <v>16</v>
      </c>
      <c r="D99" s="35" t="s">
        <v>73</v>
      </c>
      <c r="E99" s="35" t="s">
        <v>657</v>
      </c>
      <c r="F99" s="35" t="s">
        <v>658</v>
      </c>
      <c r="G99" s="35" t="s">
        <v>659</v>
      </c>
      <c r="H99" s="35" t="s">
        <v>660</v>
      </c>
      <c r="I99" s="35" t="s">
        <v>661</v>
      </c>
      <c r="J99" s="35" t="s">
        <v>661</v>
      </c>
      <c r="K99" s="35" t="s">
        <v>114</v>
      </c>
      <c r="L99" s="35" t="s">
        <v>662</v>
      </c>
      <c r="M99" s="35" t="s">
        <v>536</v>
      </c>
      <c r="O99" s="35" t="s">
        <v>86</v>
      </c>
    </row>
    <row r="100" spans="1:15" ht="150" hidden="1" x14ac:dyDescent="0.25">
      <c r="A100" s="35">
        <v>108</v>
      </c>
      <c r="B100" s="92">
        <v>3</v>
      </c>
      <c r="C100" s="92">
        <v>17</v>
      </c>
      <c r="D100" s="35" t="s">
        <v>73</v>
      </c>
      <c r="E100" s="35" t="s">
        <v>663</v>
      </c>
      <c r="F100" s="35" t="s">
        <v>664</v>
      </c>
      <c r="G100" s="35" t="s">
        <v>665</v>
      </c>
      <c r="H100" s="35" t="s">
        <v>666</v>
      </c>
      <c r="I100" s="35" t="s">
        <v>667</v>
      </c>
      <c r="J100" s="35" t="s">
        <v>665</v>
      </c>
      <c r="K100" s="35" t="s">
        <v>101</v>
      </c>
      <c r="L100" s="35" t="s">
        <v>668</v>
      </c>
      <c r="M100" s="35" t="s">
        <v>536</v>
      </c>
      <c r="O100" s="35" t="s">
        <v>122</v>
      </c>
    </row>
    <row r="101" spans="1:15" ht="135" hidden="1" x14ac:dyDescent="0.25">
      <c r="A101" s="35">
        <v>109</v>
      </c>
      <c r="B101" s="92">
        <v>3</v>
      </c>
      <c r="C101" s="92">
        <v>18</v>
      </c>
      <c r="D101" s="35" t="s">
        <v>73</v>
      </c>
      <c r="E101" s="35" t="s">
        <v>669</v>
      </c>
      <c r="F101" s="35" t="s">
        <v>670</v>
      </c>
      <c r="G101" s="35" t="s">
        <v>671</v>
      </c>
      <c r="H101" s="35" t="s">
        <v>672</v>
      </c>
      <c r="I101" s="35" t="s">
        <v>673</v>
      </c>
      <c r="J101" s="35" t="s">
        <v>674</v>
      </c>
      <c r="K101" s="35" t="s">
        <v>69</v>
      </c>
      <c r="L101" s="35" t="s">
        <v>675</v>
      </c>
      <c r="M101" s="35" t="s">
        <v>536</v>
      </c>
      <c r="O101" s="35" t="s">
        <v>122</v>
      </c>
    </row>
    <row r="102" spans="1:15" ht="105" hidden="1" x14ac:dyDescent="0.25">
      <c r="A102" s="35">
        <v>110</v>
      </c>
      <c r="B102" s="92">
        <v>3</v>
      </c>
      <c r="C102" s="92">
        <v>19</v>
      </c>
      <c r="D102" s="35" t="s">
        <v>73</v>
      </c>
      <c r="E102" s="35" t="s">
        <v>676</v>
      </c>
      <c r="F102" s="35" t="s">
        <v>677</v>
      </c>
      <c r="G102" s="35" t="s">
        <v>678</v>
      </c>
      <c r="H102" s="35" t="s">
        <v>679</v>
      </c>
      <c r="I102" s="35" t="s">
        <v>680</v>
      </c>
      <c r="J102" s="35" t="s">
        <v>680</v>
      </c>
      <c r="K102" s="35" t="s">
        <v>114</v>
      </c>
      <c r="L102" s="35" t="s">
        <v>681</v>
      </c>
      <c r="M102" s="35" t="s">
        <v>536</v>
      </c>
      <c r="O102" s="35" t="s">
        <v>86</v>
      </c>
    </row>
    <row r="103" spans="1:15" ht="135" hidden="1" x14ac:dyDescent="0.25">
      <c r="A103" s="35">
        <v>111</v>
      </c>
      <c r="B103" s="92">
        <v>3</v>
      </c>
      <c r="C103" s="92">
        <v>20</v>
      </c>
      <c r="D103" s="35" t="s">
        <v>73</v>
      </c>
      <c r="E103" s="35" t="s">
        <v>682</v>
      </c>
      <c r="F103" s="35" t="s">
        <v>683</v>
      </c>
      <c r="G103" s="35" t="s">
        <v>684</v>
      </c>
      <c r="H103" s="35" t="s">
        <v>685</v>
      </c>
      <c r="I103" s="35" t="s">
        <v>686</v>
      </c>
      <c r="J103" s="35" t="s">
        <v>684</v>
      </c>
      <c r="K103" s="35" t="s">
        <v>101</v>
      </c>
      <c r="L103" s="35" t="s">
        <v>687</v>
      </c>
      <c r="M103" s="35" t="s">
        <v>536</v>
      </c>
      <c r="O103" s="35" t="s">
        <v>122</v>
      </c>
    </row>
    <row r="104" spans="1:15" ht="90" hidden="1" x14ac:dyDescent="0.25">
      <c r="A104" s="35">
        <v>112</v>
      </c>
      <c r="B104" s="92">
        <v>5</v>
      </c>
      <c r="C104" s="92">
        <v>28</v>
      </c>
      <c r="D104" s="35" t="s">
        <v>3689</v>
      </c>
      <c r="E104" s="35" t="s">
        <v>688</v>
      </c>
      <c r="F104" s="35" t="s">
        <v>689</v>
      </c>
      <c r="G104" s="35" t="s">
        <v>690</v>
      </c>
      <c r="H104" s="35" t="s">
        <v>691</v>
      </c>
      <c r="I104" s="35" t="s">
        <v>692</v>
      </c>
      <c r="J104" s="35" t="s">
        <v>692</v>
      </c>
      <c r="K104" s="35" t="s">
        <v>114</v>
      </c>
      <c r="L104" s="35" t="s">
        <v>693</v>
      </c>
      <c r="M104" s="35" t="s">
        <v>536</v>
      </c>
      <c r="O104" s="35" t="s">
        <v>86</v>
      </c>
    </row>
    <row r="105" spans="1:15" ht="90" hidden="1" x14ac:dyDescent="0.25">
      <c r="A105" s="35">
        <v>113</v>
      </c>
      <c r="B105" s="92">
        <v>3</v>
      </c>
      <c r="C105" s="92">
        <v>21</v>
      </c>
      <c r="D105" s="35" t="s">
        <v>73</v>
      </c>
      <c r="E105" s="35" t="s">
        <v>694</v>
      </c>
      <c r="F105" s="35" t="s">
        <v>695</v>
      </c>
      <c r="G105" s="35" t="s">
        <v>691</v>
      </c>
      <c r="H105" s="35" t="s">
        <v>696</v>
      </c>
      <c r="I105" s="35" t="s">
        <v>697</v>
      </c>
      <c r="J105" s="35" t="s">
        <v>696</v>
      </c>
      <c r="K105" s="35" t="s">
        <v>82</v>
      </c>
      <c r="L105" s="35" t="s">
        <v>698</v>
      </c>
      <c r="M105" s="35" t="s">
        <v>536</v>
      </c>
      <c r="O105" s="35" t="s">
        <v>86</v>
      </c>
    </row>
    <row r="106" spans="1:15" ht="90" hidden="1" x14ac:dyDescent="0.25">
      <c r="A106" s="35">
        <v>114</v>
      </c>
      <c r="B106" s="92">
        <v>3</v>
      </c>
      <c r="C106" s="92">
        <v>22</v>
      </c>
      <c r="D106" s="35" t="s">
        <v>73</v>
      </c>
      <c r="E106" s="35" t="s">
        <v>699</v>
      </c>
      <c r="F106" s="35" t="s">
        <v>700</v>
      </c>
      <c r="G106" s="35" t="s">
        <v>701</v>
      </c>
      <c r="H106" s="35" t="s">
        <v>702</v>
      </c>
      <c r="I106" s="35" t="s">
        <v>703</v>
      </c>
      <c r="J106" s="35" t="s">
        <v>703</v>
      </c>
      <c r="K106" s="35" t="s">
        <v>114</v>
      </c>
      <c r="L106" s="35" t="s">
        <v>704</v>
      </c>
      <c r="M106" s="35" t="s">
        <v>536</v>
      </c>
      <c r="O106" s="35" t="s">
        <v>86</v>
      </c>
    </row>
    <row r="107" spans="1:15" ht="60" hidden="1" x14ac:dyDescent="0.25">
      <c r="A107" s="35">
        <v>115</v>
      </c>
      <c r="B107" s="92">
        <v>3</v>
      </c>
      <c r="C107" s="92">
        <v>23</v>
      </c>
      <c r="D107" s="35" t="s">
        <v>73</v>
      </c>
      <c r="E107" s="35" t="s">
        <v>705</v>
      </c>
      <c r="F107" s="35" t="s">
        <v>706</v>
      </c>
      <c r="G107" s="35" t="s">
        <v>707</v>
      </c>
      <c r="H107" s="35" t="s">
        <v>708</v>
      </c>
      <c r="I107" s="35" t="s">
        <v>709</v>
      </c>
      <c r="J107" s="35" t="s">
        <v>709</v>
      </c>
      <c r="K107" s="35" t="s">
        <v>114</v>
      </c>
      <c r="L107" s="35" t="s">
        <v>710</v>
      </c>
      <c r="M107" s="35" t="s">
        <v>536</v>
      </c>
      <c r="O107" s="35" t="s">
        <v>74</v>
      </c>
    </row>
    <row r="108" spans="1:15" ht="135" hidden="1" x14ac:dyDescent="0.25">
      <c r="A108" s="35">
        <v>116</v>
      </c>
      <c r="B108" s="92">
        <v>4</v>
      </c>
      <c r="C108" s="92">
        <v>2</v>
      </c>
      <c r="D108" s="35" t="s">
        <v>73</v>
      </c>
      <c r="E108" s="35" t="s">
        <v>711</v>
      </c>
      <c r="F108" s="35" t="s">
        <v>712</v>
      </c>
      <c r="G108" s="35" t="s">
        <v>713</v>
      </c>
      <c r="H108" s="35" t="s">
        <v>714</v>
      </c>
      <c r="I108" s="35" t="s">
        <v>715</v>
      </c>
      <c r="J108" s="35" t="s">
        <v>715</v>
      </c>
      <c r="K108" s="35" t="s">
        <v>114</v>
      </c>
      <c r="L108" s="35" t="s">
        <v>716</v>
      </c>
      <c r="M108" s="35" t="s">
        <v>84</v>
      </c>
      <c r="N108" s="35" t="s">
        <v>717</v>
      </c>
      <c r="O108" s="35" t="s">
        <v>74</v>
      </c>
    </row>
    <row r="109" spans="1:15" ht="225" hidden="1" x14ac:dyDescent="0.25">
      <c r="A109" s="35">
        <v>117</v>
      </c>
      <c r="B109" s="92">
        <v>3</v>
      </c>
      <c r="C109" s="92">
        <v>24</v>
      </c>
      <c r="D109" s="35" t="s">
        <v>73</v>
      </c>
      <c r="E109" s="35" t="s">
        <v>718</v>
      </c>
      <c r="F109" s="35" t="s">
        <v>719</v>
      </c>
      <c r="G109" s="35" t="s">
        <v>720</v>
      </c>
      <c r="H109" s="35" t="s">
        <v>721</v>
      </c>
      <c r="I109" s="35" t="s">
        <v>722</v>
      </c>
      <c r="J109" s="35" t="s">
        <v>720</v>
      </c>
      <c r="K109" s="35" t="s">
        <v>101</v>
      </c>
      <c r="L109" s="35" t="s">
        <v>723</v>
      </c>
      <c r="M109" s="35" t="s">
        <v>536</v>
      </c>
      <c r="O109" s="35" t="s">
        <v>122</v>
      </c>
    </row>
    <row r="110" spans="1:15" ht="105" hidden="1" x14ac:dyDescent="0.25">
      <c r="A110" s="35">
        <v>118</v>
      </c>
      <c r="B110" s="92">
        <v>5</v>
      </c>
      <c r="C110" s="92">
        <v>29</v>
      </c>
      <c r="D110" s="35" t="s">
        <v>3689</v>
      </c>
      <c r="E110" s="35" t="s">
        <v>724</v>
      </c>
      <c r="F110" s="35" t="s">
        <v>725</v>
      </c>
      <c r="G110" s="35" t="s">
        <v>726</v>
      </c>
      <c r="H110" s="35" t="s">
        <v>727</v>
      </c>
      <c r="I110" s="35" t="s">
        <v>728</v>
      </c>
      <c r="J110" s="35" t="s">
        <v>725</v>
      </c>
      <c r="K110" s="35" t="s">
        <v>69</v>
      </c>
      <c r="L110" s="35" t="s">
        <v>729</v>
      </c>
      <c r="M110" s="35" t="s">
        <v>536</v>
      </c>
      <c r="O110" s="35" t="s">
        <v>86</v>
      </c>
    </row>
    <row r="111" spans="1:15" ht="135" hidden="1" x14ac:dyDescent="0.25">
      <c r="A111" s="35">
        <v>119</v>
      </c>
      <c r="B111" s="92">
        <v>5</v>
      </c>
      <c r="C111" s="92">
        <v>30</v>
      </c>
      <c r="D111" s="35" t="s">
        <v>3689</v>
      </c>
      <c r="E111" s="35" t="s">
        <v>730</v>
      </c>
      <c r="F111" s="35" t="s">
        <v>731</v>
      </c>
      <c r="G111" s="35" t="s">
        <v>732</v>
      </c>
      <c r="H111" s="35" t="s">
        <v>733</v>
      </c>
      <c r="I111" s="35" t="s">
        <v>734</v>
      </c>
      <c r="J111" s="35" t="s">
        <v>733</v>
      </c>
      <c r="K111" s="35" t="s">
        <v>82</v>
      </c>
      <c r="L111" s="35" t="s">
        <v>735</v>
      </c>
      <c r="M111" s="35" t="s">
        <v>536</v>
      </c>
      <c r="O111" s="35" t="s">
        <v>122</v>
      </c>
    </row>
    <row r="112" spans="1:15" ht="180" hidden="1" x14ac:dyDescent="0.25">
      <c r="A112" s="35">
        <v>120</v>
      </c>
      <c r="B112" s="92">
        <v>3</v>
      </c>
      <c r="C112" s="92">
        <v>25</v>
      </c>
      <c r="D112" s="35" t="s">
        <v>73</v>
      </c>
      <c r="E112" s="35" t="s">
        <v>736</v>
      </c>
      <c r="F112" s="35" t="s">
        <v>737</v>
      </c>
      <c r="G112" s="35" t="s">
        <v>738</v>
      </c>
      <c r="H112" s="35" t="s">
        <v>615</v>
      </c>
      <c r="I112" s="35" t="s">
        <v>197</v>
      </c>
      <c r="J112" s="35" t="s">
        <v>197</v>
      </c>
      <c r="K112" s="35" t="s">
        <v>114</v>
      </c>
      <c r="L112" s="93" t="s">
        <v>739</v>
      </c>
      <c r="M112" s="35" t="s">
        <v>536</v>
      </c>
      <c r="O112" s="35" t="s">
        <v>86</v>
      </c>
    </row>
    <row r="113" spans="1:15" ht="135" hidden="1" x14ac:dyDescent="0.25">
      <c r="A113" s="35">
        <v>121</v>
      </c>
      <c r="B113" s="92">
        <v>3</v>
      </c>
      <c r="C113" s="92">
        <v>26</v>
      </c>
      <c r="D113" s="35" t="s">
        <v>73</v>
      </c>
      <c r="E113" s="35" t="s">
        <v>740</v>
      </c>
      <c r="F113" s="35" t="s">
        <v>741</v>
      </c>
      <c r="G113" s="35" t="s">
        <v>742</v>
      </c>
      <c r="H113" s="35" t="s">
        <v>743</v>
      </c>
      <c r="I113" s="35" t="s">
        <v>744</v>
      </c>
      <c r="J113" s="35" t="s">
        <v>742</v>
      </c>
      <c r="K113" s="35" t="s">
        <v>101</v>
      </c>
      <c r="L113" s="35" t="s">
        <v>745</v>
      </c>
      <c r="M113" s="35" t="s">
        <v>536</v>
      </c>
      <c r="O113" s="35" t="s">
        <v>86</v>
      </c>
    </row>
    <row r="114" spans="1:15" ht="120" hidden="1" x14ac:dyDescent="0.25">
      <c r="A114" s="35">
        <v>122</v>
      </c>
      <c r="B114" s="92">
        <v>3</v>
      </c>
      <c r="C114" s="92">
        <v>27</v>
      </c>
      <c r="D114" s="35" t="s">
        <v>73</v>
      </c>
      <c r="E114" s="35" t="s">
        <v>746</v>
      </c>
      <c r="F114" s="35" t="s">
        <v>747</v>
      </c>
      <c r="G114" s="35" t="s">
        <v>748</v>
      </c>
      <c r="H114" s="35" t="s">
        <v>749</v>
      </c>
      <c r="I114" s="35" t="s">
        <v>750</v>
      </c>
      <c r="J114" s="35" t="s">
        <v>747</v>
      </c>
      <c r="K114" s="35" t="s">
        <v>69</v>
      </c>
      <c r="L114" s="35" t="s">
        <v>751</v>
      </c>
      <c r="M114" s="35" t="s">
        <v>536</v>
      </c>
      <c r="O114" s="35" t="s">
        <v>122</v>
      </c>
    </row>
    <row r="115" spans="1:15" ht="120" hidden="1" x14ac:dyDescent="0.25">
      <c r="A115" s="35">
        <v>124</v>
      </c>
      <c r="B115" s="92">
        <v>5</v>
      </c>
      <c r="C115" s="92">
        <v>31</v>
      </c>
      <c r="D115" s="35" t="s">
        <v>3689</v>
      </c>
      <c r="E115" s="35" t="s">
        <v>752</v>
      </c>
      <c r="F115" s="35" t="s">
        <v>753</v>
      </c>
      <c r="G115" s="35" t="s">
        <v>754</v>
      </c>
      <c r="H115" s="35" t="s">
        <v>755</v>
      </c>
      <c r="I115" s="35" t="s">
        <v>756</v>
      </c>
      <c r="J115" s="35" t="s">
        <v>754</v>
      </c>
      <c r="K115" s="35" t="s">
        <v>101</v>
      </c>
      <c r="L115" s="35" t="s">
        <v>757</v>
      </c>
      <c r="M115" s="35" t="s">
        <v>536</v>
      </c>
      <c r="O115" s="35" t="s">
        <v>122</v>
      </c>
    </row>
    <row r="116" spans="1:15" ht="90" hidden="1" x14ac:dyDescent="0.25">
      <c r="A116" s="35">
        <v>125</v>
      </c>
      <c r="B116" s="92">
        <v>3</v>
      </c>
      <c r="C116" s="92">
        <v>28</v>
      </c>
      <c r="D116" s="35" t="s">
        <v>73</v>
      </c>
      <c r="E116" s="35" t="s">
        <v>758</v>
      </c>
      <c r="F116" s="35" t="s">
        <v>759</v>
      </c>
      <c r="G116" s="35" t="s">
        <v>760</v>
      </c>
      <c r="H116" s="35" t="s">
        <v>761</v>
      </c>
      <c r="I116" s="35" t="s">
        <v>762</v>
      </c>
      <c r="J116" s="35" t="s">
        <v>759</v>
      </c>
      <c r="K116" s="35" t="s">
        <v>69</v>
      </c>
      <c r="L116" s="35" t="s">
        <v>763</v>
      </c>
      <c r="M116" s="35" t="s">
        <v>536</v>
      </c>
      <c r="O116" s="35" t="s">
        <v>74</v>
      </c>
    </row>
    <row r="117" spans="1:15" ht="105" hidden="1" x14ac:dyDescent="0.25">
      <c r="A117" s="35">
        <v>126</v>
      </c>
      <c r="B117" s="92">
        <v>5</v>
      </c>
      <c r="C117" s="92">
        <v>32</v>
      </c>
      <c r="D117" s="35" t="s">
        <v>3689</v>
      </c>
      <c r="E117" s="35" t="s">
        <v>764</v>
      </c>
      <c r="F117" s="35" t="s">
        <v>765</v>
      </c>
      <c r="G117" s="35" t="s">
        <v>766</v>
      </c>
      <c r="H117" s="35" t="s">
        <v>767</v>
      </c>
      <c r="I117" s="35" t="s">
        <v>768</v>
      </c>
      <c r="J117" s="35" t="s">
        <v>766</v>
      </c>
      <c r="K117" s="35" t="s">
        <v>101</v>
      </c>
      <c r="L117" s="35" t="s">
        <v>769</v>
      </c>
      <c r="M117" s="35" t="s">
        <v>536</v>
      </c>
      <c r="O117" s="35" t="s">
        <v>86</v>
      </c>
    </row>
    <row r="118" spans="1:15" ht="75" hidden="1" x14ac:dyDescent="0.25">
      <c r="A118" s="35">
        <v>127</v>
      </c>
      <c r="B118" s="92">
        <v>3</v>
      </c>
      <c r="C118" s="92">
        <v>29</v>
      </c>
      <c r="D118" s="35" t="s">
        <v>73</v>
      </c>
      <c r="E118" s="35" t="s">
        <v>770</v>
      </c>
      <c r="F118" s="35" t="s">
        <v>771</v>
      </c>
      <c r="G118" s="35" t="s">
        <v>772</v>
      </c>
      <c r="H118" s="35" t="s">
        <v>773</v>
      </c>
      <c r="I118" s="35" t="s">
        <v>774</v>
      </c>
      <c r="J118" s="35" t="s">
        <v>771</v>
      </c>
      <c r="K118" s="35" t="s">
        <v>69</v>
      </c>
      <c r="L118" s="35" t="s">
        <v>775</v>
      </c>
      <c r="M118" s="35" t="s">
        <v>536</v>
      </c>
      <c r="O118" s="35" t="s">
        <v>122</v>
      </c>
    </row>
    <row r="119" spans="1:15" ht="165" hidden="1" x14ac:dyDescent="0.25">
      <c r="A119" s="35">
        <v>128</v>
      </c>
      <c r="B119" s="92">
        <v>3</v>
      </c>
      <c r="C119" s="92">
        <v>30</v>
      </c>
      <c r="D119" s="35" t="s">
        <v>73</v>
      </c>
      <c r="E119" s="35" t="s">
        <v>776</v>
      </c>
      <c r="F119" s="35" t="s">
        <v>777</v>
      </c>
      <c r="G119" s="35" t="s">
        <v>778</v>
      </c>
      <c r="H119" s="35" t="s">
        <v>779</v>
      </c>
      <c r="I119" s="35" t="s">
        <v>780</v>
      </c>
      <c r="J119" s="35" t="s">
        <v>780</v>
      </c>
      <c r="K119" s="35" t="s">
        <v>114</v>
      </c>
      <c r="L119" s="35" t="s">
        <v>781</v>
      </c>
      <c r="M119" s="35" t="s">
        <v>536</v>
      </c>
      <c r="O119" s="35" t="s">
        <v>86</v>
      </c>
    </row>
    <row r="120" spans="1:15" ht="90" hidden="1" x14ac:dyDescent="0.25">
      <c r="A120" s="35">
        <v>129</v>
      </c>
      <c r="B120" s="92">
        <v>3</v>
      </c>
      <c r="C120" s="92">
        <v>31</v>
      </c>
      <c r="D120" s="35" t="s">
        <v>73</v>
      </c>
      <c r="E120" s="35" t="s">
        <v>782</v>
      </c>
      <c r="F120" s="35" t="s">
        <v>783</v>
      </c>
      <c r="G120" s="35" t="s">
        <v>784</v>
      </c>
      <c r="H120" s="35" t="s">
        <v>785</v>
      </c>
      <c r="I120" s="35" t="s">
        <v>786</v>
      </c>
      <c r="J120" s="35" t="s">
        <v>784</v>
      </c>
      <c r="K120" s="35" t="s">
        <v>101</v>
      </c>
      <c r="L120" s="35" t="s">
        <v>787</v>
      </c>
      <c r="M120" s="35" t="s">
        <v>536</v>
      </c>
      <c r="O120" s="35" t="s">
        <v>86</v>
      </c>
    </row>
    <row r="121" spans="1:15" ht="90" hidden="1" x14ac:dyDescent="0.25">
      <c r="A121" s="35">
        <v>130</v>
      </c>
      <c r="B121" s="92">
        <v>3</v>
      </c>
      <c r="C121" s="92">
        <v>32</v>
      </c>
      <c r="D121" s="35" t="s">
        <v>73</v>
      </c>
      <c r="E121" s="35" t="s">
        <v>788</v>
      </c>
      <c r="F121" s="35" t="s">
        <v>789</v>
      </c>
      <c r="G121" s="35" t="s">
        <v>790</v>
      </c>
      <c r="H121" s="35" t="s">
        <v>791</v>
      </c>
      <c r="I121" s="35" t="s">
        <v>792</v>
      </c>
      <c r="J121" s="35" t="s">
        <v>789</v>
      </c>
      <c r="K121" s="35" t="s">
        <v>69</v>
      </c>
      <c r="L121" s="35" t="s">
        <v>793</v>
      </c>
      <c r="M121" s="35" t="s">
        <v>536</v>
      </c>
      <c r="O121" s="35" t="s">
        <v>122</v>
      </c>
    </row>
    <row r="122" spans="1:15" ht="105" hidden="1" x14ac:dyDescent="0.25">
      <c r="A122" s="35">
        <v>131</v>
      </c>
      <c r="B122" s="92">
        <v>5</v>
      </c>
      <c r="C122" s="92">
        <v>33</v>
      </c>
      <c r="D122" s="35" t="s">
        <v>3689</v>
      </c>
      <c r="E122" s="35" t="s">
        <v>794</v>
      </c>
      <c r="F122" s="35" t="s">
        <v>795</v>
      </c>
      <c r="G122" s="35" t="s">
        <v>796</v>
      </c>
      <c r="H122" s="35" t="s">
        <v>797</v>
      </c>
      <c r="I122" s="35" t="s">
        <v>798</v>
      </c>
      <c r="J122" s="35" t="s">
        <v>795</v>
      </c>
      <c r="K122" s="35" t="s">
        <v>69</v>
      </c>
      <c r="L122" s="35" t="s">
        <v>799</v>
      </c>
      <c r="M122" s="35" t="s">
        <v>536</v>
      </c>
      <c r="O122" s="35" t="s">
        <v>86</v>
      </c>
    </row>
    <row r="123" spans="1:15" ht="120" hidden="1" x14ac:dyDescent="0.25">
      <c r="A123" s="35">
        <v>132</v>
      </c>
      <c r="B123" s="92">
        <v>3</v>
      </c>
      <c r="C123" s="92">
        <v>33</v>
      </c>
      <c r="D123" s="35" t="s">
        <v>73</v>
      </c>
      <c r="E123" s="35" t="s">
        <v>800</v>
      </c>
      <c r="F123" s="35" t="s">
        <v>801</v>
      </c>
      <c r="G123" s="35" t="s">
        <v>802</v>
      </c>
      <c r="H123" s="35" t="s">
        <v>803</v>
      </c>
      <c r="I123" s="35" t="s">
        <v>804</v>
      </c>
      <c r="J123" s="35" t="s">
        <v>804</v>
      </c>
      <c r="K123" s="35" t="s">
        <v>114</v>
      </c>
      <c r="L123" s="35" t="s">
        <v>805</v>
      </c>
      <c r="M123" s="35" t="s">
        <v>536</v>
      </c>
      <c r="O123" s="35" t="s">
        <v>86</v>
      </c>
    </row>
    <row r="124" spans="1:15" ht="99.75" hidden="1" customHeight="1" x14ac:dyDescent="0.25">
      <c r="A124" s="35">
        <v>133</v>
      </c>
      <c r="B124" s="92">
        <v>3</v>
      </c>
      <c r="C124" s="92">
        <v>34</v>
      </c>
      <c r="D124" s="35" t="s">
        <v>73</v>
      </c>
      <c r="E124" s="35" t="s">
        <v>806</v>
      </c>
      <c r="F124" s="35" t="s">
        <v>807</v>
      </c>
      <c r="G124" s="35" t="s">
        <v>808</v>
      </c>
      <c r="H124" s="35" t="s">
        <v>809</v>
      </c>
      <c r="I124" s="35" t="s">
        <v>810</v>
      </c>
      <c r="J124" s="35" t="s">
        <v>809</v>
      </c>
      <c r="K124" s="35" t="s">
        <v>82</v>
      </c>
      <c r="L124" s="35" t="s">
        <v>811</v>
      </c>
      <c r="M124" s="35" t="s">
        <v>536</v>
      </c>
      <c r="O124" s="35" t="s">
        <v>86</v>
      </c>
    </row>
    <row r="125" spans="1:15" ht="75" hidden="1" x14ac:dyDescent="0.25">
      <c r="A125" s="35">
        <v>134</v>
      </c>
      <c r="B125" s="92">
        <v>5</v>
      </c>
      <c r="C125" s="92">
        <v>34</v>
      </c>
      <c r="D125" s="35" t="s">
        <v>3689</v>
      </c>
      <c r="E125" s="35" t="s">
        <v>812</v>
      </c>
      <c r="F125" s="35" t="s">
        <v>813</v>
      </c>
      <c r="G125" s="35" t="s">
        <v>814</v>
      </c>
      <c r="H125" s="35" t="s">
        <v>815</v>
      </c>
      <c r="I125" s="35" t="s">
        <v>816</v>
      </c>
      <c r="J125" s="35" t="s">
        <v>816</v>
      </c>
      <c r="K125" s="35" t="s">
        <v>114</v>
      </c>
      <c r="L125" s="35" t="s">
        <v>817</v>
      </c>
      <c r="M125" s="35" t="s">
        <v>536</v>
      </c>
      <c r="O125" s="35" t="s">
        <v>86</v>
      </c>
    </row>
    <row r="126" spans="1:15" ht="90" hidden="1" x14ac:dyDescent="0.25">
      <c r="A126" s="35">
        <v>137</v>
      </c>
      <c r="B126" s="92">
        <v>3</v>
      </c>
      <c r="C126" s="92">
        <v>35</v>
      </c>
      <c r="D126" s="35" t="s">
        <v>73</v>
      </c>
      <c r="E126" s="35" t="s">
        <v>818</v>
      </c>
      <c r="F126" s="35" t="s">
        <v>819</v>
      </c>
      <c r="G126" s="35" t="s">
        <v>820</v>
      </c>
      <c r="H126" s="35" t="s">
        <v>821</v>
      </c>
      <c r="I126" s="35" t="s">
        <v>822</v>
      </c>
      <c r="J126" s="35" t="s">
        <v>822</v>
      </c>
      <c r="K126" s="35" t="s">
        <v>114</v>
      </c>
      <c r="L126" s="35" t="s">
        <v>823</v>
      </c>
      <c r="M126" s="35" t="s">
        <v>536</v>
      </c>
      <c r="O126" s="35" t="s">
        <v>74</v>
      </c>
    </row>
    <row r="127" spans="1:15" ht="105" hidden="1" x14ac:dyDescent="0.25">
      <c r="A127" s="35">
        <v>138</v>
      </c>
      <c r="B127" s="92">
        <v>3</v>
      </c>
      <c r="C127" s="92">
        <v>36</v>
      </c>
      <c r="D127" s="35" t="s">
        <v>73</v>
      </c>
      <c r="E127" s="35" t="s">
        <v>824</v>
      </c>
      <c r="F127" s="35" t="s">
        <v>825</v>
      </c>
      <c r="G127" s="35" t="s">
        <v>826</v>
      </c>
      <c r="H127" s="35" t="s">
        <v>827</v>
      </c>
      <c r="I127" s="35" t="s">
        <v>828</v>
      </c>
      <c r="J127" s="35" t="s">
        <v>827</v>
      </c>
      <c r="K127" s="35" t="s">
        <v>82</v>
      </c>
      <c r="L127" s="35" t="s">
        <v>829</v>
      </c>
      <c r="M127" s="35" t="s">
        <v>536</v>
      </c>
      <c r="O127" s="35" t="s">
        <v>86</v>
      </c>
    </row>
    <row r="128" spans="1:15" ht="90" hidden="1" x14ac:dyDescent="0.25">
      <c r="A128" s="35">
        <v>139</v>
      </c>
      <c r="B128" s="92">
        <v>3</v>
      </c>
      <c r="C128" s="92">
        <v>37</v>
      </c>
      <c r="D128" s="35" t="s">
        <v>73</v>
      </c>
      <c r="E128" s="35" t="s">
        <v>830</v>
      </c>
      <c r="F128" s="35" t="s">
        <v>831</v>
      </c>
      <c r="G128" s="35" t="s">
        <v>832</v>
      </c>
      <c r="H128" s="35" t="s">
        <v>833</v>
      </c>
      <c r="I128" s="35" t="s">
        <v>834</v>
      </c>
      <c r="J128" s="35" t="s">
        <v>833</v>
      </c>
      <c r="K128" s="35" t="s">
        <v>82</v>
      </c>
      <c r="L128" s="35" t="s">
        <v>835</v>
      </c>
      <c r="M128" s="35" t="s">
        <v>536</v>
      </c>
      <c r="O128" s="35" t="s">
        <v>122</v>
      </c>
    </row>
    <row r="129" spans="1:15" ht="105" hidden="1" x14ac:dyDescent="0.25">
      <c r="A129" s="35">
        <v>140</v>
      </c>
      <c r="B129" s="92">
        <v>5</v>
      </c>
      <c r="C129" s="92">
        <v>35</v>
      </c>
      <c r="D129" s="35" t="s">
        <v>3689</v>
      </c>
      <c r="E129" s="35" t="s">
        <v>836</v>
      </c>
      <c r="F129" s="35" t="s">
        <v>837</v>
      </c>
      <c r="G129" s="35" t="s">
        <v>838</v>
      </c>
      <c r="H129" s="35" t="s">
        <v>839</v>
      </c>
      <c r="I129" s="35" t="s">
        <v>840</v>
      </c>
      <c r="J129" s="35" t="s">
        <v>837</v>
      </c>
      <c r="K129" s="35" t="s">
        <v>69</v>
      </c>
      <c r="L129" s="35" t="s">
        <v>841</v>
      </c>
      <c r="M129" s="35" t="s">
        <v>536</v>
      </c>
      <c r="O129" s="35" t="s">
        <v>122</v>
      </c>
    </row>
    <row r="130" spans="1:15" ht="120" hidden="1" x14ac:dyDescent="0.25">
      <c r="A130" s="35">
        <v>141</v>
      </c>
      <c r="B130" s="92">
        <v>3</v>
      </c>
      <c r="C130" s="92">
        <v>38</v>
      </c>
      <c r="D130" s="35" t="s">
        <v>73</v>
      </c>
      <c r="E130" s="35" t="s">
        <v>842</v>
      </c>
      <c r="F130" s="35" t="s">
        <v>843</v>
      </c>
      <c r="G130" s="35" t="s">
        <v>844</v>
      </c>
      <c r="H130" s="35" t="s">
        <v>845</v>
      </c>
      <c r="I130" s="35" t="s">
        <v>846</v>
      </c>
      <c r="J130" s="35" t="s">
        <v>846</v>
      </c>
      <c r="K130" s="35" t="s">
        <v>114</v>
      </c>
      <c r="L130" s="35" t="s">
        <v>847</v>
      </c>
      <c r="M130" s="35" t="s">
        <v>536</v>
      </c>
      <c r="O130" s="35" t="s">
        <v>74</v>
      </c>
    </row>
    <row r="131" spans="1:15" ht="135" hidden="1" x14ac:dyDescent="0.25">
      <c r="A131" s="35">
        <v>142</v>
      </c>
      <c r="B131" s="92">
        <v>3</v>
      </c>
      <c r="C131" s="92">
        <v>39</v>
      </c>
      <c r="D131" s="35" t="s">
        <v>73</v>
      </c>
      <c r="E131" s="35" t="s">
        <v>848</v>
      </c>
      <c r="F131" s="35" t="s">
        <v>849</v>
      </c>
      <c r="G131" s="35" t="s">
        <v>850</v>
      </c>
      <c r="H131" s="35" t="s">
        <v>851</v>
      </c>
      <c r="I131" s="35" t="s">
        <v>852</v>
      </c>
      <c r="J131" s="35" t="s">
        <v>849</v>
      </c>
      <c r="K131" s="35" t="s">
        <v>69</v>
      </c>
      <c r="L131" s="35" t="s">
        <v>853</v>
      </c>
      <c r="M131" s="35" t="s">
        <v>536</v>
      </c>
      <c r="O131" s="35" t="s">
        <v>122</v>
      </c>
    </row>
    <row r="132" spans="1:15" ht="120" hidden="1" x14ac:dyDescent="0.25">
      <c r="A132" s="35">
        <v>143</v>
      </c>
      <c r="B132" s="92">
        <v>3</v>
      </c>
      <c r="C132" s="92">
        <v>40</v>
      </c>
      <c r="D132" s="35" t="s">
        <v>73</v>
      </c>
      <c r="E132" s="35" t="s">
        <v>854</v>
      </c>
      <c r="F132" s="35" t="s">
        <v>855</v>
      </c>
      <c r="G132" s="35" t="s">
        <v>856</v>
      </c>
      <c r="H132" s="35" t="s">
        <v>857</v>
      </c>
      <c r="I132" s="35" t="s">
        <v>858</v>
      </c>
      <c r="J132" s="35" t="s">
        <v>856</v>
      </c>
      <c r="K132" s="35" t="s">
        <v>101</v>
      </c>
      <c r="L132" s="35" t="s">
        <v>859</v>
      </c>
      <c r="M132" s="35" t="s">
        <v>536</v>
      </c>
      <c r="O132" s="35" t="s">
        <v>86</v>
      </c>
    </row>
    <row r="133" spans="1:15" ht="105" hidden="1" x14ac:dyDescent="0.25">
      <c r="A133" s="35">
        <v>144</v>
      </c>
      <c r="B133" s="92">
        <v>5</v>
      </c>
      <c r="C133" s="92">
        <v>36</v>
      </c>
      <c r="D133" s="35" t="s">
        <v>3689</v>
      </c>
      <c r="E133" s="35" t="s">
        <v>860</v>
      </c>
      <c r="F133" s="35" t="s">
        <v>861</v>
      </c>
      <c r="G133" s="35" t="s">
        <v>862</v>
      </c>
      <c r="H133" s="35" t="s">
        <v>863</v>
      </c>
      <c r="I133" s="35" t="s">
        <v>864</v>
      </c>
      <c r="J133" s="35" t="s">
        <v>864</v>
      </c>
      <c r="K133" s="35" t="s">
        <v>114</v>
      </c>
      <c r="L133" s="35" t="s">
        <v>865</v>
      </c>
      <c r="M133" s="35" t="s">
        <v>536</v>
      </c>
      <c r="O133" s="35" t="s">
        <v>122</v>
      </c>
    </row>
    <row r="134" spans="1:15" ht="120" hidden="1" x14ac:dyDescent="0.25">
      <c r="A134" s="35">
        <v>145</v>
      </c>
      <c r="B134" s="92">
        <v>3</v>
      </c>
      <c r="C134" s="92">
        <v>41</v>
      </c>
      <c r="D134" s="35" t="s">
        <v>73</v>
      </c>
      <c r="E134" s="35" t="s">
        <v>866</v>
      </c>
      <c r="F134" s="35" t="s">
        <v>867</v>
      </c>
      <c r="G134" s="35" t="s">
        <v>868</v>
      </c>
      <c r="H134" s="35" t="s">
        <v>869</v>
      </c>
      <c r="I134" s="35" t="s">
        <v>870</v>
      </c>
      <c r="J134" s="35" t="s">
        <v>870</v>
      </c>
      <c r="K134" s="35" t="s">
        <v>114</v>
      </c>
      <c r="L134" s="35" t="s">
        <v>871</v>
      </c>
      <c r="M134" s="35" t="s">
        <v>536</v>
      </c>
      <c r="O134" s="35" t="s">
        <v>122</v>
      </c>
    </row>
    <row r="135" spans="1:15" ht="165" hidden="1" x14ac:dyDescent="0.25">
      <c r="A135" s="35">
        <v>147</v>
      </c>
      <c r="B135" s="92">
        <v>5</v>
      </c>
      <c r="C135" s="92">
        <v>37</v>
      </c>
      <c r="D135" s="35" t="s">
        <v>3689</v>
      </c>
      <c r="E135" s="35" t="s">
        <v>872</v>
      </c>
      <c r="F135" s="35" t="s">
        <v>873</v>
      </c>
      <c r="G135" s="35" t="s">
        <v>874</v>
      </c>
      <c r="H135" s="35" t="s">
        <v>875</v>
      </c>
      <c r="I135" s="35" t="s">
        <v>876</v>
      </c>
      <c r="J135" s="35" t="s">
        <v>876</v>
      </c>
      <c r="K135" s="35" t="s">
        <v>114</v>
      </c>
      <c r="L135" s="35" t="s">
        <v>877</v>
      </c>
      <c r="M135" s="35" t="s">
        <v>536</v>
      </c>
      <c r="O135" s="35" t="s">
        <v>86</v>
      </c>
    </row>
    <row r="136" spans="1:15" ht="90" hidden="1" x14ac:dyDescent="0.25">
      <c r="A136" s="35">
        <v>151</v>
      </c>
      <c r="B136" s="92">
        <v>3</v>
      </c>
      <c r="C136" s="92">
        <v>42</v>
      </c>
      <c r="D136" s="35" t="s">
        <v>73</v>
      </c>
      <c r="E136" s="35" t="s">
        <v>878</v>
      </c>
      <c r="F136" s="35" t="s">
        <v>879</v>
      </c>
      <c r="G136" s="35" t="s">
        <v>880</v>
      </c>
      <c r="H136" s="35" t="s">
        <v>881</v>
      </c>
      <c r="I136" s="35" t="s">
        <v>882</v>
      </c>
      <c r="J136" s="35" t="s">
        <v>881</v>
      </c>
      <c r="K136" s="35" t="s">
        <v>82</v>
      </c>
      <c r="L136" s="35" t="s">
        <v>883</v>
      </c>
      <c r="M136" s="35" t="s">
        <v>536</v>
      </c>
      <c r="O136" s="35" t="s">
        <v>86</v>
      </c>
    </row>
    <row r="137" spans="1:15" ht="105" hidden="1" x14ac:dyDescent="0.25">
      <c r="A137" s="35">
        <v>152</v>
      </c>
      <c r="B137" s="92">
        <v>3</v>
      </c>
      <c r="C137" s="92">
        <v>43</v>
      </c>
      <c r="D137" s="35" t="s">
        <v>73</v>
      </c>
      <c r="E137" s="35" t="s">
        <v>884</v>
      </c>
      <c r="F137" s="35" t="s">
        <v>885</v>
      </c>
      <c r="G137" s="35" t="s">
        <v>886</v>
      </c>
      <c r="H137" s="35" t="s">
        <v>586</v>
      </c>
      <c r="I137" s="35" t="s">
        <v>887</v>
      </c>
      <c r="J137" s="35" t="s">
        <v>886</v>
      </c>
      <c r="K137" s="35" t="s">
        <v>101</v>
      </c>
      <c r="L137" s="35" t="s">
        <v>888</v>
      </c>
      <c r="M137" s="35" t="s">
        <v>536</v>
      </c>
      <c r="O137" s="35" t="s">
        <v>86</v>
      </c>
    </row>
    <row r="138" spans="1:15" ht="105" x14ac:dyDescent="0.25">
      <c r="A138" s="35">
        <v>153</v>
      </c>
      <c r="B138" s="92">
        <v>1</v>
      </c>
      <c r="C138" s="92">
        <v>16</v>
      </c>
      <c r="D138" s="35" t="s">
        <v>73</v>
      </c>
      <c r="E138" s="35" t="s">
        <v>889</v>
      </c>
      <c r="F138" s="35" t="s">
        <v>890</v>
      </c>
      <c r="G138" s="35" t="s">
        <v>891</v>
      </c>
      <c r="H138" s="35" t="s">
        <v>892</v>
      </c>
      <c r="I138" s="35" t="s">
        <v>893</v>
      </c>
      <c r="J138" s="35" t="s">
        <v>891</v>
      </c>
      <c r="K138" s="35" t="s">
        <v>101</v>
      </c>
      <c r="L138" s="35" t="s">
        <v>894</v>
      </c>
      <c r="M138" s="35" t="s">
        <v>72</v>
      </c>
      <c r="O138" s="35" t="s">
        <v>86</v>
      </c>
    </row>
    <row r="139" spans="1:15" ht="75" hidden="1" x14ac:dyDescent="0.25">
      <c r="A139" s="35">
        <v>155</v>
      </c>
      <c r="B139" s="92">
        <v>5</v>
      </c>
      <c r="C139" s="92">
        <v>38</v>
      </c>
      <c r="D139" s="35" t="s">
        <v>3689</v>
      </c>
      <c r="E139" s="35" t="s">
        <v>895</v>
      </c>
      <c r="F139" s="35" t="s">
        <v>896</v>
      </c>
      <c r="G139" s="35" t="s">
        <v>897</v>
      </c>
      <c r="H139" s="35" t="s">
        <v>898</v>
      </c>
      <c r="I139" s="35" t="s">
        <v>899</v>
      </c>
      <c r="J139" s="35" t="s">
        <v>899</v>
      </c>
      <c r="K139" s="35" t="s">
        <v>114</v>
      </c>
      <c r="L139" s="35" t="s">
        <v>900</v>
      </c>
      <c r="M139" s="35" t="s">
        <v>536</v>
      </c>
      <c r="O139" s="35" t="s">
        <v>86</v>
      </c>
    </row>
    <row r="140" spans="1:15" ht="90" hidden="1" x14ac:dyDescent="0.25">
      <c r="A140" s="35">
        <v>156</v>
      </c>
      <c r="B140" s="92">
        <v>5</v>
      </c>
      <c r="C140" s="92">
        <v>39</v>
      </c>
      <c r="D140" s="35" t="s">
        <v>3689</v>
      </c>
      <c r="E140" s="35" t="s">
        <v>901</v>
      </c>
      <c r="F140" s="35" t="s">
        <v>902</v>
      </c>
      <c r="G140" s="35" t="s">
        <v>903</v>
      </c>
      <c r="H140" s="35" t="s">
        <v>904</v>
      </c>
      <c r="I140" s="35" t="s">
        <v>905</v>
      </c>
      <c r="J140" s="35" t="s">
        <v>902</v>
      </c>
      <c r="K140" s="35" t="s">
        <v>69</v>
      </c>
      <c r="L140" s="35" t="s">
        <v>906</v>
      </c>
      <c r="M140" s="35" t="s">
        <v>536</v>
      </c>
      <c r="O140" s="35" t="s">
        <v>122</v>
      </c>
    </row>
    <row r="141" spans="1:15" ht="90" hidden="1" x14ac:dyDescent="0.25">
      <c r="A141" s="35">
        <v>157</v>
      </c>
      <c r="B141" s="92">
        <v>2</v>
      </c>
      <c r="C141" s="92">
        <v>40</v>
      </c>
      <c r="D141" s="35" t="s">
        <v>73</v>
      </c>
      <c r="E141" s="35" t="s">
        <v>907</v>
      </c>
      <c r="F141" s="35" t="s">
        <v>908</v>
      </c>
      <c r="G141" s="35" t="s">
        <v>245</v>
      </c>
      <c r="H141" s="35" t="s">
        <v>909</v>
      </c>
      <c r="I141" s="35" t="s">
        <v>910</v>
      </c>
      <c r="J141" s="35" t="s">
        <v>909</v>
      </c>
      <c r="K141" s="35" t="s">
        <v>82</v>
      </c>
      <c r="L141" s="35" t="s">
        <v>911</v>
      </c>
      <c r="M141" s="35" t="s">
        <v>95</v>
      </c>
      <c r="O141" s="35" t="s">
        <v>74</v>
      </c>
    </row>
    <row r="142" spans="1:15" ht="90" hidden="1" x14ac:dyDescent="0.25">
      <c r="A142" s="35">
        <v>158</v>
      </c>
      <c r="B142" s="92">
        <v>3</v>
      </c>
      <c r="C142" s="92">
        <v>44</v>
      </c>
      <c r="D142" s="35" t="s">
        <v>73</v>
      </c>
      <c r="E142" s="35" t="s">
        <v>912</v>
      </c>
      <c r="F142" s="35" t="s">
        <v>913</v>
      </c>
      <c r="G142" s="35" t="s">
        <v>914</v>
      </c>
      <c r="H142" s="35" t="s">
        <v>915</v>
      </c>
      <c r="I142" s="35" t="s">
        <v>916</v>
      </c>
      <c r="J142" s="35" t="s">
        <v>913</v>
      </c>
      <c r="K142" s="35" t="s">
        <v>69</v>
      </c>
      <c r="L142" s="35" t="s">
        <v>917</v>
      </c>
      <c r="M142" s="35" t="s">
        <v>536</v>
      </c>
      <c r="O142" s="35" t="s">
        <v>86</v>
      </c>
    </row>
    <row r="143" spans="1:15" ht="75" hidden="1" x14ac:dyDescent="0.25">
      <c r="A143" s="35">
        <v>159</v>
      </c>
      <c r="B143" s="92">
        <v>2</v>
      </c>
      <c r="C143" s="92">
        <v>41</v>
      </c>
      <c r="D143" s="35" t="s">
        <v>73</v>
      </c>
      <c r="E143" s="35" t="s">
        <v>918</v>
      </c>
      <c r="F143" s="35" t="s">
        <v>919</v>
      </c>
      <c r="G143" s="35" t="s">
        <v>920</v>
      </c>
      <c r="H143" s="35" t="s">
        <v>921</v>
      </c>
      <c r="I143" s="35" t="s">
        <v>922</v>
      </c>
      <c r="J143" s="35" t="s">
        <v>922</v>
      </c>
      <c r="K143" s="35" t="s">
        <v>114</v>
      </c>
      <c r="L143" s="35" t="s">
        <v>923</v>
      </c>
      <c r="M143" s="35" t="s">
        <v>95</v>
      </c>
      <c r="O143" s="35" t="s">
        <v>74</v>
      </c>
    </row>
    <row r="144" spans="1:15" ht="75" hidden="1" x14ac:dyDescent="0.25">
      <c r="A144" s="35">
        <v>160</v>
      </c>
      <c r="B144" s="92">
        <v>3</v>
      </c>
      <c r="C144" s="92">
        <v>45</v>
      </c>
      <c r="D144" s="35" t="s">
        <v>73</v>
      </c>
      <c r="E144" s="35" t="s">
        <v>924</v>
      </c>
      <c r="F144" s="35" t="s">
        <v>925</v>
      </c>
      <c r="G144" s="35" t="s">
        <v>926</v>
      </c>
      <c r="H144" s="35" t="s">
        <v>927</v>
      </c>
      <c r="I144" s="35" t="s">
        <v>928</v>
      </c>
      <c r="J144" s="35" t="s">
        <v>927</v>
      </c>
      <c r="K144" s="35" t="s">
        <v>82</v>
      </c>
      <c r="L144" s="35" t="s">
        <v>929</v>
      </c>
      <c r="M144" s="35" t="s">
        <v>536</v>
      </c>
      <c r="O144" s="35" t="s">
        <v>86</v>
      </c>
    </row>
    <row r="145" spans="1:15" ht="75" hidden="1" x14ac:dyDescent="0.25">
      <c r="A145" s="35">
        <v>161</v>
      </c>
      <c r="B145" s="92">
        <v>2</v>
      </c>
      <c r="C145" s="92">
        <v>42</v>
      </c>
      <c r="D145" s="35" t="s">
        <v>73</v>
      </c>
      <c r="E145" s="35" t="s">
        <v>930</v>
      </c>
      <c r="F145" s="35" t="s">
        <v>931</v>
      </c>
      <c r="G145" s="35" t="s">
        <v>932</v>
      </c>
      <c r="H145" s="35" t="s">
        <v>933</v>
      </c>
      <c r="I145" s="35" t="s">
        <v>934</v>
      </c>
      <c r="J145" s="35" t="s">
        <v>932</v>
      </c>
      <c r="K145" s="35" t="s">
        <v>101</v>
      </c>
      <c r="L145" s="35" t="s">
        <v>935</v>
      </c>
      <c r="M145" s="35" t="s">
        <v>95</v>
      </c>
      <c r="O145" s="35" t="s">
        <v>74</v>
      </c>
    </row>
    <row r="146" spans="1:15" ht="60" hidden="1" x14ac:dyDescent="0.25">
      <c r="A146" s="35">
        <v>162</v>
      </c>
      <c r="B146" s="92">
        <v>3</v>
      </c>
      <c r="C146" s="92">
        <v>46</v>
      </c>
      <c r="D146" s="35" t="s">
        <v>73</v>
      </c>
      <c r="E146" s="35" t="s">
        <v>936</v>
      </c>
      <c r="F146" s="35" t="s">
        <v>937</v>
      </c>
      <c r="G146" s="35" t="s">
        <v>938</v>
      </c>
      <c r="H146" s="35" t="s">
        <v>939</v>
      </c>
      <c r="I146" s="35" t="s">
        <v>940</v>
      </c>
      <c r="J146" s="35" t="s">
        <v>938</v>
      </c>
      <c r="K146" s="35" t="s">
        <v>101</v>
      </c>
      <c r="L146" s="35" t="s">
        <v>941</v>
      </c>
      <c r="M146" s="35" t="s">
        <v>536</v>
      </c>
      <c r="O146" s="35" t="s">
        <v>74</v>
      </c>
    </row>
    <row r="147" spans="1:15" ht="75" hidden="1" x14ac:dyDescent="0.25">
      <c r="A147" s="35">
        <v>164</v>
      </c>
      <c r="B147" s="92">
        <v>5</v>
      </c>
      <c r="C147" s="92">
        <v>40</v>
      </c>
      <c r="D147" s="35" t="s">
        <v>3689</v>
      </c>
      <c r="E147" s="35" t="s">
        <v>942</v>
      </c>
      <c r="F147" s="35" t="s">
        <v>943</v>
      </c>
      <c r="G147" s="35" t="s">
        <v>944</v>
      </c>
      <c r="H147" s="35" t="s">
        <v>945</v>
      </c>
      <c r="I147" s="35" t="s">
        <v>946</v>
      </c>
      <c r="J147" s="35" t="s">
        <v>946</v>
      </c>
      <c r="K147" s="35" t="s">
        <v>114</v>
      </c>
      <c r="L147" s="35" t="s">
        <v>947</v>
      </c>
      <c r="M147" s="35" t="s">
        <v>95</v>
      </c>
      <c r="O147" s="35" t="s">
        <v>122</v>
      </c>
    </row>
    <row r="148" spans="1:15" ht="105" hidden="1" x14ac:dyDescent="0.25">
      <c r="A148" s="35">
        <v>165</v>
      </c>
      <c r="B148" s="92">
        <v>5</v>
      </c>
      <c r="C148" s="92">
        <v>41</v>
      </c>
      <c r="D148" s="35" t="s">
        <v>3689</v>
      </c>
      <c r="E148" s="35" t="s">
        <v>948</v>
      </c>
      <c r="F148" s="35" t="s">
        <v>949</v>
      </c>
      <c r="G148" s="35" t="s">
        <v>950</v>
      </c>
      <c r="H148" s="35" t="s">
        <v>951</v>
      </c>
      <c r="I148" s="35" t="s">
        <v>952</v>
      </c>
      <c r="J148" s="35" t="s">
        <v>951</v>
      </c>
      <c r="K148" s="35" t="s">
        <v>82</v>
      </c>
      <c r="L148" s="35" t="s">
        <v>953</v>
      </c>
      <c r="M148" s="35" t="s">
        <v>536</v>
      </c>
      <c r="O148" s="35" t="s">
        <v>86</v>
      </c>
    </row>
    <row r="149" spans="1:15" ht="75" hidden="1" x14ac:dyDescent="0.25">
      <c r="A149" s="35">
        <v>166</v>
      </c>
      <c r="B149" s="92">
        <v>3</v>
      </c>
      <c r="C149" s="92">
        <v>47</v>
      </c>
      <c r="D149" s="35" t="s">
        <v>73</v>
      </c>
      <c r="E149" s="35" t="s">
        <v>954</v>
      </c>
      <c r="F149" s="35" t="s">
        <v>955</v>
      </c>
      <c r="G149" s="35" t="s">
        <v>956</v>
      </c>
      <c r="H149" s="35" t="s">
        <v>957</v>
      </c>
      <c r="I149" s="35" t="s">
        <v>958</v>
      </c>
      <c r="J149" s="35" t="s">
        <v>956</v>
      </c>
      <c r="K149" s="35" t="s">
        <v>101</v>
      </c>
      <c r="L149" s="35" t="s">
        <v>959</v>
      </c>
      <c r="M149" s="35" t="s">
        <v>536</v>
      </c>
      <c r="O149" s="35" t="s">
        <v>86</v>
      </c>
    </row>
    <row r="150" spans="1:15" ht="90" x14ac:dyDescent="0.25">
      <c r="A150" s="35">
        <v>167</v>
      </c>
      <c r="B150" s="92">
        <v>1</v>
      </c>
      <c r="C150" s="92">
        <v>17</v>
      </c>
      <c r="D150" s="35" t="s">
        <v>73</v>
      </c>
      <c r="E150" s="35" t="s">
        <v>960</v>
      </c>
      <c r="F150" s="35" t="s">
        <v>628</v>
      </c>
      <c r="G150" s="35" t="s">
        <v>961</v>
      </c>
      <c r="H150" s="94" t="s">
        <v>962</v>
      </c>
      <c r="I150" s="35" t="s">
        <v>963</v>
      </c>
      <c r="J150" s="35" t="s">
        <v>961</v>
      </c>
      <c r="K150" s="35" t="s">
        <v>101</v>
      </c>
      <c r="L150" s="93" t="s">
        <v>964</v>
      </c>
      <c r="M150" s="35" t="s">
        <v>72</v>
      </c>
      <c r="O150" s="35" t="s">
        <v>74</v>
      </c>
    </row>
    <row r="151" spans="1:15" ht="225" hidden="1" x14ac:dyDescent="0.25">
      <c r="A151" s="35">
        <v>168</v>
      </c>
      <c r="B151" s="92">
        <v>2</v>
      </c>
      <c r="C151" s="92">
        <v>43</v>
      </c>
      <c r="D151" s="35" t="s">
        <v>73</v>
      </c>
      <c r="E151" s="35" t="s">
        <v>965</v>
      </c>
      <c r="F151" s="35" t="s">
        <v>966</v>
      </c>
      <c r="G151" s="35" t="s">
        <v>967</v>
      </c>
      <c r="H151" s="35" t="s">
        <v>968</v>
      </c>
      <c r="I151" s="35" t="s">
        <v>969</v>
      </c>
      <c r="J151" s="35" t="s">
        <v>967</v>
      </c>
      <c r="K151" s="35" t="s">
        <v>101</v>
      </c>
      <c r="L151" s="35" t="s">
        <v>970</v>
      </c>
      <c r="M151" s="35" t="s">
        <v>95</v>
      </c>
      <c r="O151" s="35" t="s">
        <v>86</v>
      </c>
    </row>
    <row r="152" spans="1:15" ht="120" hidden="1" x14ac:dyDescent="0.25">
      <c r="A152" s="35">
        <v>169</v>
      </c>
      <c r="B152" s="92">
        <v>3</v>
      </c>
      <c r="C152" s="92">
        <v>48</v>
      </c>
      <c r="D152" s="35" t="s">
        <v>73</v>
      </c>
      <c r="E152" s="35" t="s">
        <v>971</v>
      </c>
      <c r="F152" s="35" t="s">
        <v>972</v>
      </c>
      <c r="G152" s="35" t="s">
        <v>973</v>
      </c>
      <c r="H152" s="35" t="s">
        <v>974</v>
      </c>
      <c r="I152" s="35" t="s">
        <v>975</v>
      </c>
      <c r="J152" s="35" t="s">
        <v>974</v>
      </c>
      <c r="K152" s="35" t="s">
        <v>82</v>
      </c>
      <c r="L152" s="35" t="s">
        <v>976</v>
      </c>
      <c r="M152" s="35" t="s">
        <v>536</v>
      </c>
      <c r="O152" s="35" t="s">
        <v>74</v>
      </c>
    </row>
    <row r="153" spans="1:15" ht="60" hidden="1" x14ac:dyDescent="0.25">
      <c r="A153" s="35">
        <v>170</v>
      </c>
      <c r="B153" s="92">
        <v>3</v>
      </c>
      <c r="C153" s="92">
        <v>49</v>
      </c>
      <c r="D153" s="35" t="s">
        <v>73</v>
      </c>
      <c r="E153" s="35" t="s">
        <v>977</v>
      </c>
      <c r="F153" s="35" t="s">
        <v>978</v>
      </c>
      <c r="G153" s="35" t="s">
        <v>979</v>
      </c>
      <c r="H153" s="35" t="s">
        <v>980</v>
      </c>
      <c r="I153" s="35" t="s">
        <v>981</v>
      </c>
      <c r="J153" s="35" t="s">
        <v>980</v>
      </c>
      <c r="K153" s="35" t="s">
        <v>82</v>
      </c>
      <c r="L153" s="35" t="s">
        <v>982</v>
      </c>
      <c r="M153" s="35" t="s">
        <v>536</v>
      </c>
      <c r="O153" s="35" t="s">
        <v>86</v>
      </c>
    </row>
    <row r="154" spans="1:15" ht="195" hidden="1" x14ac:dyDescent="0.25">
      <c r="A154" s="35">
        <v>171</v>
      </c>
      <c r="B154" s="92">
        <v>2</v>
      </c>
      <c r="C154" s="92">
        <v>44</v>
      </c>
      <c r="D154" s="35" t="s">
        <v>73</v>
      </c>
      <c r="E154" s="35" t="s">
        <v>983</v>
      </c>
      <c r="F154" s="35" t="s">
        <v>412</v>
      </c>
      <c r="G154" s="35" t="s">
        <v>984</v>
      </c>
      <c r="H154" s="35" t="s">
        <v>415</v>
      </c>
      <c r="I154" s="35" t="s">
        <v>985</v>
      </c>
      <c r="J154" s="35" t="s">
        <v>412</v>
      </c>
      <c r="K154" s="35" t="s">
        <v>69</v>
      </c>
      <c r="L154" s="35" t="s">
        <v>986</v>
      </c>
      <c r="M154" s="35" t="s">
        <v>95</v>
      </c>
      <c r="O154" s="35" t="s">
        <v>74</v>
      </c>
    </row>
    <row r="155" spans="1:15" ht="180" hidden="1" x14ac:dyDescent="0.25">
      <c r="A155" s="35">
        <v>172</v>
      </c>
      <c r="B155" s="92">
        <v>3</v>
      </c>
      <c r="C155" s="92">
        <v>50</v>
      </c>
      <c r="D155" s="35" t="s">
        <v>73</v>
      </c>
      <c r="E155" s="35" t="s">
        <v>987</v>
      </c>
      <c r="F155" s="35" t="s">
        <v>988</v>
      </c>
      <c r="G155" s="35" t="s">
        <v>989</v>
      </c>
      <c r="H155" s="35" t="s">
        <v>990</v>
      </c>
      <c r="I155" s="35" t="s">
        <v>991</v>
      </c>
      <c r="J155" s="35" t="s">
        <v>991</v>
      </c>
      <c r="K155" s="35" t="s">
        <v>114</v>
      </c>
      <c r="L155" s="35" t="s">
        <v>992</v>
      </c>
      <c r="M155" s="35" t="s">
        <v>536</v>
      </c>
      <c r="O155" s="35" t="s">
        <v>122</v>
      </c>
    </row>
    <row r="156" spans="1:15" ht="75" hidden="1" x14ac:dyDescent="0.25">
      <c r="A156" s="35">
        <v>173</v>
      </c>
      <c r="B156" s="92">
        <v>3</v>
      </c>
      <c r="C156" s="92">
        <v>51</v>
      </c>
      <c r="D156" s="35" t="s">
        <v>73</v>
      </c>
      <c r="E156" s="35" t="s">
        <v>993</v>
      </c>
      <c r="F156" s="35" t="s">
        <v>994</v>
      </c>
      <c r="G156" s="35" t="s">
        <v>995</v>
      </c>
      <c r="H156" s="35" t="s">
        <v>996</v>
      </c>
      <c r="I156" s="35" t="s">
        <v>997</v>
      </c>
      <c r="J156" s="35" t="s">
        <v>995</v>
      </c>
      <c r="K156" s="35" t="s">
        <v>101</v>
      </c>
      <c r="L156" s="35" t="s">
        <v>998</v>
      </c>
      <c r="M156" s="35" t="s">
        <v>536</v>
      </c>
      <c r="O156" s="35" t="s">
        <v>74</v>
      </c>
    </row>
    <row r="157" spans="1:15" ht="90" hidden="1" x14ac:dyDescent="0.25">
      <c r="A157" s="35">
        <v>174</v>
      </c>
      <c r="B157" s="92">
        <v>5</v>
      </c>
      <c r="C157" s="92">
        <v>42</v>
      </c>
      <c r="D157" s="35" t="s">
        <v>3689</v>
      </c>
      <c r="E157" s="35" t="s">
        <v>999</v>
      </c>
      <c r="F157" s="35" t="s">
        <v>1000</v>
      </c>
      <c r="G157" s="35" t="s">
        <v>1001</v>
      </c>
      <c r="H157" s="35" t="s">
        <v>1002</v>
      </c>
      <c r="I157" s="35" t="s">
        <v>1003</v>
      </c>
      <c r="J157" s="35" t="s">
        <v>1002</v>
      </c>
      <c r="K157" s="35" t="s">
        <v>82</v>
      </c>
      <c r="L157" s="35" t="s">
        <v>1004</v>
      </c>
      <c r="M157" s="35" t="s">
        <v>72</v>
      </c>
      <c r="O157" s="35" t="s">
        <v>74</v>
      </c>
    </row>
    <row r="158" spans="1:15" ht="105" hidden="1" x14ac:dyDescent="0.25">
      <c r="A158" s="35">
        <v>175</v>
      </c>
      <c r="B158" s="92">
        <v>5</v>
      </c>
      <c r="C158" s="92">
        <v>43</v>
      </c>
      <c r="D158" s="35" t="s">
        <v>3689</v>
      </c>
      <c r="E158" s="35" t="s">
        <v>1005</v>
      </c>
      <c r="F158" s="35" t="s">
        <v>1006</v>
      </c>
      <c r="G158" s="35" t="s">
        <v>1007</v>
      </c>
      <c r="H158" s="35" t="s">
        <v>1008</v>
      </c>
      <c r="I158" s="35" t="s">
        <v>1009</v>
      </c>
      <c r="J158" s="35" t="s">
        <v>1008</v>
      </c>
      <c r="K158" s="35" t="s">
        <v>82</v>
      </c>
      <c r="L158" s="35" t="s">
        <v>1010</v>
      </c>
      <c r="M158" s="35" t="s">
        <v>72</v>
      </c>
      <c r="O158" s="35" t="s">
        <v>74</v>
      </c>
    </row>
    <row r="159" spans="1:15" ht="135" hidden="1" x14ac:dyDescent="0.25">
      <c r="A159" s="35">
        <v>177</v>
      </c>
      <c r="B159" s="92">
        <v>5</v>
      </c>
      <c r="C159" s="92">
        <v>44</v>
      </c>
      <c r="D159" s="35" t="s">
        <v>3689</v>
      </c>
      <c r="E159" s="35" t="s">
        <v>1011</v>
      </c>
      <c r="F159" s="35" t="s">
        <v>1012</v>
      </c>
      <c r="G159" s="35" t="s">
        <v>1013</v>
      </c>
      <c r="H159" s="35" t="s">
        <v>1014</v>
      </c>
      <c r="I159" s="35" t="s">
        <v>1015</v>
      </c>
      <c r="J159" s="35" t="s">
        <v>1014</v>
      </c>
      <c r="K159" s="35" t="s">
        <v>82</v>
      </c>
      <c r="L159" s="35" t="s">
        <v>1016</v>
      </c>
      <c r="M159" s="35" t="s">
        <v>536</v>
      </c>
      <c r="O159" s="35" t="s">
        <v>122</v>
      </c>
    </row>
    <row r="160" spans="1:15" ht="90" hidden="1" x14ac:dyDescent="0.25">
      <c r="A160" s="35">
        <v>178</v>
      </c>
      <c r="B160" s="92">
        <v>3</v>
      </c>
      <c r="C160" s="92">
        <v>52</v>
      </c>
      <c r="D160" s="35" t="s">
        <v>73</v>
      </c>
      <c r="E160" s="35" t="s">
        <v>1017</v>
      </c>
      <c r="F160" s="35" t="s">
        <v>1018</v>
      </c>
      <c r="G160" s="35" t="s">
        <v>1019</v>
      </c>
      <c r="H160" s="35" t="s">
        <v>1020</v>
      </c>
      <c r="I160" s="35" t="s">
        <v>1021</v>
      </c>
      <c r="J160" s="35" t="s">
        <v>1021</v>
      </c>
      <c r="K160" s="35" t="s">
        <v>114</v>
      </c>
      <c r="L160" s="35" t="s">
        <v>1022</v>
      </c>
      <c r="M160" s="35" t="s">
        <v>536</v>
      </c>
      <c r="O160" s="35" t="s">
        <v>86</v>
      </c>
    </row>
    <row r="161" spans="1:15" ht="180" hidden="1" x14ac:dyDescent="0.25">
      <c r="A161" s="35">
        <v>179</v>
      </c>
      <c r="B161" s="92">
        <v>3</v>
      </c>
      <c r="C161" s="92">
        <v>53</v>
      </c>
      <c r="D161" s="35" t="s">
        <v>73</v>
      </c>
      <c r="E161" s="35" t="s">
        <v>1023</v>
      </c>
      <c r="F161" s="35" t="s">
        <v>1024</v>
      </c>
      <c r="G161" s="35" t="s">
        <v>1025</v>
      </c>
      <c r="H161" s="35" t="s">
        <v>1026</v>
      </c>
      <c r="I161" s="35" t="s">
        <v>1027</v>
      </c>
      <c r="J161" s="35" t="s">
        <v>1026</v>
      </c>
      <c r="K161" s="35" t="s">
        <v>82</v>
      </c>
      <c r="L161" s="35" t="s">
        <v>1028</v>
      </c>
      <c r="M161" s="35" t="s">
        <v>536</v>
      </c>
      <c r="O161" s="35" t="s">
        <v>122</v>
      </c>
    </row>
    <row r="162" spans="1:15" ht="75" hidden="1" x14ac:dyDescent="0.25">
      <c r="A162" s="35">
        <v>180</v>
      </c>
      <c r="B162" s="92">
        <v>2</v>
      </c>
      <c r="C162" s="92">
        <v>45</v>
      </c>
      <c r="D162" s="35" t="s">
        <v>73</v>
      </c>
      <c r="E162" s="35" t="s">
        <v>1029</v>
      </c>
      <c r="F162" s="35" t="s">
        <v>1030</v>
      </c>
      <c r="G162" s="35" t="s">
        <v>1031</v>
      </c>
      <c r="H162" s="35" t="s">
        <v>1032</v>
      </c>
      <c r="I162" s="35" t="s">
        <v>1033</v>
      </c>
      <c r="J162" s="35" t="s">
        <v>1030</v>
      </c>
      <c r="K162" s="35" t="s">
        <v>69</v>
      </c>
      <c r="L162" s="35" t="s">
        <v>1034</v>
      </c>
      <c r="M162" s="35" t="s">
        <v>95</v>
      </c>
      <c r="O162" s="35" t="s">
        <v>74</v>
      </c>
    </row>
    <row r="163" spans="1:15" ht="105" hidden="1" x14ac:dyDescent="0.25">
      <c r="A163" s="35">
        <v>181</v>
      </c>
      <c r="B163" s="92">
        <v>5</v>
      </c>
      <c r="C163" s="92">
        <v>45</v>
      </c>
      <c r="D163" s="35" t="s">
        <v>3689</v>
      </c>
      <c r="E163" s="35" t="s">
        <v>1035</v>
      </c>
      <c r="F163" s="35" t="s">
        <v>1036</v>
      </c>
      <c r="G163" s="35" t="s">
        <v>1037</v>
      </c>
      <c r="H163" s="35" t="s">
        <v>1038</v>
      </c>
      <c r="I163" s="35" t="s">
        <v>1039</v>
      </c>
      <c r="J163" s="35" t="s">
        <v>1038</v>
      </c>
      <c r="K163" s="35" t="s">
        <v>82</v>
      </c>
      <c r="L163" s="35" t="s">
        <v>1040</v>
      </c>
      <c r="M163" s="35" t="s">
        <v>72</v>
      </c>
      <c r="O163" s="35" t="s">
        <v>74</v>
      </c>
    </row>
    <row r="164" spans="1:15" ht="105" hidden="1" x14ac:dyDescent="0.25">
      <c r="A164" s="35">
        <v>182</v>
      </c>
      <c r="B164" s="92">
        <v>2</v>
      </c>
      <c r="C164" s="92">
        <v>46</v>
      </c>
      <c r="D164" s="35" t="s">
        <v>73</v>
      </c>
      <c r="E164" s="35" t="s">
        <v>1041</v>
      </c>
      <c r="F164" s="35" t="s">
        <v>1042</v>
      </c>
      <c r="G164" s="35" t="s">
        <v>1043</v>
      </c>
      <c r="H164" s="35" t="s">
        <v>1044</v>
      </c>
      <c r="I164" s="35" t="s">
        <v>1045</v>
      </c>
      <c r="J164" s="35" t="s">
        <v>1045</v>
      </c>
      <c r="K164" s="35" t="s">
        <v>114</v>
      </c>
      <c r="L164" s="35" t="s">
        <v>1046</v>
      </c>
      <c r="M164" s="35" t="s">
        <v>95</v>
      </c>
      <c r="O164" s="35" t="s">
        <v>74</v>
      </c>
    </row>
    <row r="165" spans="1:15" ht="105" hidden="1" x14ac:dyDescent="0.25">
      <c r="A165" s="35">
        <v>183</v>
      </c>
      <c r="B165" s="92">
        <v>2</v>
      </c>
      <c r="C165" s="92">
        <v>47</v>
      </c>
      <c r="D165" s="35" t="s">
        <v>73</v>
      </c>
      <c r="E165" s="35" t="s">
        <v>1047</v>
      </c>
      <c r="F165" s="35" t="s">
        <v>1048</v>
      </c>
      <c r="G165" s="35" t="s">
        <v>1049</v>
      </c>
      <c r="H165" s="35" t="s">
        <v>1050</v>
      </c>
      <c r="I165" s="35" t="s">
        <v>1051</v>
      </c>
      <c r="J165" s="35" t="s">
        <v>1048</v>
      </c>
      <c r="K165" s="35" t="s">
        <v>69</v>
      </c>
      <c r="L165" s="35" t="s">
        <v>1052</v>
      </c>
      <c r="M165" s="35" t="s">
        <v>95</v>
      </c>
      <c r="O165" s="35" t="s">
        <v>74</v>
      </c>
    </row>
    <row r="166" spans="1:15" ht="105" hidden="1" x14ac:dyDescent="0.25">
      <c r="A166" s="35">
        <v>184</v>
      </c>
      <c r="B166" s="92">
        <v>5</v>
      </c>
      <c r="C166" s="92">
        <v>46</v>
      </c>
      <c r="D166" s="35" t="s">
        <v>3689</v>
      </c>
      <c r="E166" s="35" t="s">
        <v>1053</v>
      </c>
      <c r="F166" s="35" t="s">
        <v>1054</v>
      </c>
      <c r="G166" s="35" t="s">
        <v>1055</v>
      </c>
      <c r="H166" s="35" t="s">
        <v>1056</v>
      </c>
      <c r="I166" s="35" t="s">
        <v>1057</v>
      </c>
      <c r="J166" s="35" t="s">
        <v>1058</v>
      </c>
      <c r="K166" s="35" t="s">
        <v>114</v>
      </c>
      <c r="L166" s="35" t="s">
        <v>1059</v>
      </c>
      <c r="M166" s="35" t="s">
        <v>536</v>
      </c>
      <c r="O166" s="35" t="s">
        <v>74</v>
      </c>
    </row>
    <row r="167" spans="1:15" ht="90" hidden="1" x14ac:dyDescent="0.25">
      <c r="A167" s="35">
        <v>185</v>
      </c>
      <c r="B167" s="92">
        <v>3</v>
      </c>
      <c r="C167" s="92">
        <v>54</v>
      </c>
      <c r="D167" s="35" t="s">
        <v>73</v>
      </c>
      <c r="E167" s="35" t="s">
        <v>1060</v>
      </c>
      <c r="F167" s="35" t="s">
        <v>1061</v>
      </c>
      <c r="G167" s="35" t="s">
        <v>1062</v>
      </c>
      <c r="H167" s="35" t="s">
        <v>1063</v>
      </c>
      <c r="I167" s="35" t="s">
        <v>1064</v>
      </c>
      <c r="J167" s="35" t="s">
        <v>1061</v>
      </c>
      <c r="K167" s="35" t="s">
        <v>69</v>
      </c>
      <c r="L167" s="35" t="s">
        <v>1065</v>
      </c>
      <c r="M167" s="35" t="s">
        <v>536</v>
      </c>
      <c r="O167" s="35" t="s">
        <v>74</v>
      </c>
    </row>
    <row r="168" spans="1:15" ht="45" hidden="1" x14ac:dyDescent="0.25">
      <c r="A168" s="35">
        <v>187</v>
      </c>
      <c r="B168" s="92">
        <v>3</v>
      </c>
      <c r="C168" s="92">
        <v>55</v>
      </c>
      <c r="D168" s="35" t="s">
        <v>73</v>
      </c>
      <c r="E168" s="35" t="s">
        <v>1066</v>
      </c>
      <c r="F168" s="35" t="s">
        <v>1067</v>
      </c>
      <c r="G168" s="35" t="s">
        <v>1068</v>
      </c>
      <c r="H168" s="35" t="s">
        <v>1069</v>
      </c>
      <c r="I168" s="35" t="s">
        <v>1070</v>
      </c>
      <c r="J168" s="35" t="s">
        <v>1069</v>
      </c>
      <c r="K168" s="35" t="s">
        <v>82</v>
      </c>
      <c r="L168" s="35" t="s">
        <v>1071</v>
      </c>
      <c r="M168" s="35" t="s">
        <v>536</v>
      </c>
      <c r="O168" s="35" t="s">
        <v>74</v>
      </c>
    </row>
    <row r="169" spans="1:15" ht="105" hidden="1" x14ac:dyDescent="0.25">
      <c r="A169" s="35">
        <v>188</v>
      </c>
      <c r="B169" s="92">
        <v>5</v>
      </c>
      <c r="C169" s="92">
        <v>47</v>
      </c>
      <c r="D169" s="35" t="s">
        <v>3689</v>
      </c>
      <c r="E169" s="35" t="s">
        <v>1072</v>
      </c>
      <c r="F169" s="35" t="s">
        <v>509</v>
      </c>
      <c r="G169" s="35" t="s">
        <v>1073</v>
      </c>
      <c r="H169" s="35" t="s">
        <v>1074</v>
      </c>
      <c r="I169" s="35" t="s">
        <v>1075</v>
      </c>
      <c r="J169" s="35" t="s">
        <v>509</v>
      </c>
      <c r="K169" s="35" t="s">
        <v>69</v>
      </c>
      <c r="L169" s="35" t="s">
        <v>1076</v>
      </c>
      <c r="M169" s="35" t="s">
        <v>95</v>
      </c>
      <c r="O169" s="35" t="s">
        <v>86</v>
      </c>
    </row>
    <row r="170" spans="1:15" ht="120" hidden="1" x14ac:dyDescent="0.25">
      <c r="A170" s="35">
        <v>189</v>
      </c>
      <c r="B170" s="92">
        <v>3</v>
      </c>
      <c r="C170" s="92">
        <v>56</v>
      </c>
      <c r="D170" s="35" t="s">
        <v>73</v>
      </c>
      <c r="E170" s="35" t="s">
        <v>1077</v>
      </c>
      <c r="F170" s="35" t="s">
        <v>1078</v>
      </c>
      <c r="G170" s="35" t="s">
        <v>1079</v>
      </c>
      <c r="H170" s="35" t="s">
        <v>1080</v>
      </c>
      <c r="I170" s="35" t="s">
        <v>1081</v>
      </c>
      <c r="J170" s="35" t="s">
        <v>1079</v>
      </c>
      <c r="K170" s="35" t="s">
        <v>101</v>
      </c>
      <c r="L170" s="35" t="s">
        <v>1082</v>
      </c>
      <c r="M170" s="35" t="s">
        <v>536</v>
      </c>
      <c r="O170" s="35" t="s">
        <v>86</v>
      </c>
    </row>
    <row r="171" spans="1:15" ht="150" hidden="1" x14ac:dyDescent="0.25">
      <c r="A171" s="35">
        <v>190</v>
      </c>
      <c r="B171" s="92">
        <v>3</v>
      </c>
      <c r="C171" s="92">
        <v>57</v>
      </c>
      <c r="D171" s="35" t="s">
        <v>73</v>
      </c>
      <c r="E171" s="35" t="s">
        <v>1083</v>
      </c>
      <c r="F171" s="35" t="s">
        <v>1084</v>
      </c>
      <c r="G171" s="35" t="s">
        <v>1085</v>
      </c>
      <c r="H171" s="35" t="s">
        <v>1086</v>
      </c>
      <c r="I171" s="35" t="s">
        <v>1087</v>
      </c>
      <c r="J171" s="35" t="s">
        <v>1087</v>
      </c>
      <c r="K171" s="35" t="s">
        <v>114</v>
      </c>
      <c r="L171" s="35" t="s">
        <v>1088</v>
      </c>
      <c r="M171" s="35" t="s">
        <v>536</v>
      </c>
      <c r="O171" s="35" t="s">
        <v>122</v>
      </c>
    </row>
    <row r="172" spans="1:15" ht="90" hidden="1" x14ac:dyDescent="0.25">
      <c r="A172" s="35">
        <v>191</v>
      </c>
      <c r="B172" s="92">
        <v>5</v>
      </c>
      <c r="C172" s="92">
        <v>48</v>
      </c>
      <c r="D172" s="35" t="s">
        <v>3689</v>
      </c>
      <c r="E172" s="35" t="s">
        <v>1089</v>
      </c>
      <c r="F172" s="35" t="s">
        <v>1090</v>
      </c>
      <c r="G172" s="35" t="s">
        <v>1091</v>
      </c>
      <c r="H172" s="35" t="s">
        <v>1092</v>
      </c>
      <c r="I172" s="35" t="s">
        <v>1093</v>
      </c>
      <c r="J172" s="35" t="s">
        <v>1091</v>
      </c>
      <c r="K172" s="35" t="s">
        <v>101</v>
      </c>
      <c r="L172" s="35" t="s">
        <v>1094</v>
      </c>
      <c r="M172" s="35" t="s">
        <v>536</v>
      </c>
      <c r="O172" s="35" t="s">
        <v>86</v>
      </c>
    </row>
    <row r="173" spans="1:15" ht="165" hidden="1" x14ac:dyDescent="0.25">
      <c r="A173" s="35">
        <v>193</v>
      </c>
      <c r="B173" s="92">
        <v>2</v>
      </c>
      <c r="C173" s="92">
        <v>48</v>
      </c>
      <c r="D173" s="35" t="s">
        <v>73</v>
      </c>
      <c r="E173" s="35" t="s">
        <v>1095</v>
      </c>
      <c r="F173" s="35" t="s">
        <v>1096</v>
      </c>
      <c r="G173" s="35" t="s">
        <v>1097</v>
      </c>
      <c r="H173" s="35" t="s">
        <v>1098</v>
      </c>
      <c r="I173" s="35" t="s">
        <v>1099</v>
      </c>
      <c r="J173" s="35" t="s">
        <v>1097</v>
      </c>
      <c r="K173" s="35" t="s">
        <v>101</v>
      </c>
      <c r="L173" s="35" t="s">
        <v>1100</v>
      </c>
      <c r="M173" s="35" t="s">
        <v>95</v>
      </c>
      <c r="O173" s="35" t="s">
        <v>86</v>
      </c>
    </row>
    <row r="174" spans="1:15" ht="105" hidden="1" x14ac:dyDescent="0.25">
      <c r="A174" s="35">
        <v>194</v>
      </c>
      <c r="B174" s="92">
        <v>5</v>
      </c>
      <c r="C174" s="92">
        <v>49</v>
      </c>
      <c r="D174" s="35" t="s">
        <v>3689</v>
      </c>
      <c r="E174" s="35" t="s">
        <v>1101</v>
      </c>
      <c r="F174" s="35" t="s">
        <v>1102</v>
      </c>
      <c r="G174" s="35" t="s">
        <v>1103</v>
      </c>
      <c r="H174" s="35" t="s">
        <v>1104</v>
      </c>
      <c r="I174" s="35" t="s">
        <v>1105</v>
      </c>
      <c r="J174" s="35" t="s">
        <v>1106</v>
      </c>
      <c r="K174" s="35" t="s">
        <v>101</v>
      </c>
      <c r="L174" s="35" t="s">
        <v>1107</v>
      </c>
      <c r="M174" s="35" t="s">
        <v>95</v>
      </c>
      <c r="O174" s="35" t="s">
        <v>86</v>
      </c>
    </row>
    <row r="175" spans="1:15" ht="45" hidden="1" x14ac:dyDescent="0.25">
      <c r="A175" s="35">
        <v>195</v>
      </c>
      <c r="B175" s="92">
        <v>3</v>
      </c>
      <c r="C175" s="92">
        <v>58</v>
      </c>
      <c r="D175" s="35" t="s">
        <v>73</v>
      </c>
      <c r="E175" s="35" t="s">
        <v>1108</v>
      </c>
      <c r="F175" s="35" t="s">
        <v>1109</v>
      </c>
      <c r="G175" s="35" t="s">
        <v>1110</v>
      </c>
      <c r="H175" s="35" t="s">
        <v>1111</v>
      </c>
      <c r="I175" s="35" t="s">
        <v>1112</v>
      </c>
      <c r="J175" s="35" t="s">
        <v>1109</v>
      </c>
      <c r="K175" s="35" t="s">
        <v>69</v>
      </c>
      <c r="L175" s="35" t="s">
        <v>1113</v>
      </c>
      <c r="M175" s="35" t="s">
        <v>536</v>
      </c>
      <c r="O175" s="35" t="s">
        <v>86</v>
      </c>
    </row>
    <row r="176" spans="1:15" ht="60" hidden="1" x14ac:dyDescent="0.25">
      <c r="A176" s="35">
        <v>196</v>
      </c>
      <c r="B176" s="92">
        <v>3</v>
      </c>
      <c r="C176" s="92">
        <v>59</v>
      </c>
      <c r="D176" s="35" t="s">
        <v>73</v>
      </c>
      <c r="E176" s="35" t="s">
        <v>1114</v>
      </c>
      <c r="F176" s="35" t="s">
        <v>1115</v>
      </c>
      <c r="G176" s="35" t="s">
        <v>1116</v>
      </c>
      <c r="H176" s="35" t="s">
        <v>1117</v>
      </c>
      <c r="I176" s="35" t="s">
        <v>1118</v>
      </c>
      <c r="J176" s="35" t="s">
        <v>1118</v>
      </c>
      <c r="K176" s="35" t="s">
        <v>114</v>
      </c>
      <c r="L176" s="35" t="s">
        <v>1119</v>
      </c>
      <c r="M176" s="35" t="s">
        <v>536</v>
      </c>
      <c r="O176" s="35" t="s">
        <v>86</v>
      </c>
    </row>
    <row r="177" spans="1:15" ht="165" hidden="1" x14ac:dyDescent="0.25">
      <c r="A177" s="35">
        <v>197</v>
      </c>
      <c r="B177" s="92">
        <v>5</v>
      </c>
      <c r="C177" s="92">
        <v>50</v>
      </c>
      <c r="D177" s="35" t="s">
        <v>3689</v>
      </c>
      <c r="E177" s="35" t="s">
        <v>1120</v>
      </c>
      <c r="F177" s="35" t="s">
        <v>1121</v>
      </c>
      <c r="G177" s="35" t="s">
        <v>1122</v>
      </c>
      <c r="H177" s="35" t="s">
        <v>1123</v>
      </c>
      <c r="I177" s="35" t="s">
        <v>1124</v>
      </c>
      <c r="J177" s="35" t="s">
        <v>1122</v>
      </c>
      <c r="K177" s="35" t="s">
        <v>101</v>
      </c>
      <c r="L177" s="35" t="s">
        <v>1125</v>
      </c>
      <c r="M177" s="35" t="s">
        <v>536</v>
      </c>
      <c r="O177" s="35" t="s">
        <v>86</v>
      </c>
    </row>
    <row r="178" spans="1:15" ht="135" hidden="1" x14ac:dyDescent="0.25">
      <c r="A178" s="35">
        <v>198</v>
      </c>
      <c r="B178" s="92">
        <v>3</v>
      </c>
      <c r="C178" s="92">
        <v>60</v>
      </c>
      <c r="D178" s="35" t="s">
        <v>73</v>
      </c>
      <c r="E178" s="35" t="s">
        <v>1126</v>
      </c>
      <c r="F178" s="35" t="s">
        <v>1127</v>
      </c>
      <c r="G178" s="35" t="s">
        <v>1128</v>
      </c>
      <c r="H178" s="35" t="s">
        <v>1129</v>
      </c>
      <c r="I178" s="35" t="s">
        <v>1130</v>
      </c>
      <c r="J178" s="35" t="s">
        <v>1127</v>
      </c>
      <c r="K178" s="35" t="s">
        <v>69</v>
      </c>
      <c r="L178" s="35" t="s">
        <v>1131</v>
      </c>
      <c r="M178" s="35" t="s">
        <v>536</v>
      </c>
      <c r="O178" s="35" t="s">
        <v>86</v>
      </c>
    </row>
    <row r="179" spans="1:15" ht="165" hidden="1" x14ac:dyDescent="0.25">
      <c r="A179" s="35">
        <v>199</v>
      </c>
      <c r="B179" s="92">
        <v>5</v>
      </c>
      <c r="C179" s="92">
        <v>51</v>
      </c>
      <c r="D179" s="35" t="s">
        <v>3689</v>
      </c>
      <c r="E179" s="35" t="s">
        <v>1132</v>
      </c>
      <c r="F179" s="35" t="s">
        <v>1133</v>
      </c>
      <c r="G179" s="35" t="s">
        <v>1134</v>
      </c>
      <c r="H179" s="35" t="s">
        <v>1135</v>
      </c>
      <c r="I179" s="35" t="s">
        <v>1136</v>
      </c>
      <c r="J179" s="35" t="s">
        <v>1135</v>
      </c>
      <c r="K179" s="35" t="s">
        <v>82</v>
      </c>
      <c r="L179" s="35" t="s">
        <v>1137</v>
      </c>
      <c r="M179" s="35" t="s">
        <v>536</v>
      </c>
      <c r="O179" s="35" t="s">
        <v>74</v>
      </c>
    </row>
    <row r="180" spans="1:15" ht="60" hidden="1" x14ac:dyDescent="0.25">
      <c r="A180" s="35">
        <v>200</v>
      </c>
      <c r="B180" s="92">
        <v>5</v>
      </c>
      <c r="C180" s="92">
        <v>52</v>
      </c>
      <c r="D180" s="35" t="s">
        <v>3689</v>
      </c>
      <c r="E180" s="35" t="s">
        <v>1138</v>
      </c>
      <c r="F180" s="35" t="s">
        <v>1139</v>
      </c>
      <c r="G180" s="35" t="s">
        <v>1140</v>
      </c>
      <c r="H180" s="35" t="s">
        <v>1141</v>
      </c>
      <c r="I180" s="35" t="s">
        <v>1142</v>
      </c>
      <c r="J180" s="35" t="s">
        <v>1140</v>
      </c>
      <c r="K180" s="35" t="s">
        <v>101</v>
      </c>
      <c r="L180" s="35" t="s">
        <v>1143</v>
      </c>
      <c r="M180" s="35" t="s">
        <v>72</v>
      </c>
      <c r="O180" s="35" t="s">
        <v>86</v>
      </c>
    </row>
    <row r="181" spans="1:15" ht="45" x14ac:dyDescent="0.25">
      <c r="A181" s="35">
        <v>201</v>
      </c>
      <c r="B181" s="92">
        <v>1</v>
      </c>
      <c r="C181" s="92">
        <v>18</v>
      </c>
      <c r="D181" s="35" t="s">
        <v>73</v>
      </c>
      <c r="E181" s="35" t="s">
        <v>1144</v>
      </c>
      <c r="F181" s="35" t="s">
        <v>1145</v>
      </c>
      <c r="G181" s="35" t="s">
        <v>1146</v>
      </c>
      <c r="H181" s="35" t="s">
        <v>1147</v>
      </c>
      <c r="I181" s="35" t="s">
        <v>1148</v>
      </c>
      <c r="J181" s="35" t="s">
        <v>1146</v>
      </c>
      <c r="K181" s="35" t="s">
        <v>101</v>
      </c>
      <c r="L181" s="35" t="s">
        <v>1149</v>
      </c>
      <c r="M181" s="35" t="s">
        <v>72</v>
      </c>
      <c r="O181" s="35" t="s">
        <v>74</v>
      </c>
    </row>
    <row r="182" spans="1:15" ht="90" x14ac:dyDescent="0.25">
      <c r="A182" s="35">
        <v>202</v>
      </c>
      <c r="B182" s="92">
        <v>1</v>
      </c>
      <c r="C182" s="92">
        <v>19</v>
      </c>
      <c r="D182" s="35" t="s">
        <v>73</v>
      </c>
      <c r="E182" s="35" t="s">
        <v>1150</v>
      </c>
      <c r="F182" s="35" t="s">
        <v>1151</v>
      </c>
      <c r="G182" s="35" t="s">
        <v>1152</v>
      </c>
      <c r="H182" s="35" t="s">
        <v>1153</v>
      </c>
      <c r="I182" s="35" t="s">
        <v>1154</v>
      </c>
      <c r="J182" s="35" t="s">
        <v>1151</v>
      </c>
      <c r="K182" s="35" t="s">
        <v>69</v>
      </c>
      <c r="L182" s="35" t="s">
        <v>1155</v>
      </c>
      <c r="M182" s="35" t="s">
        <v>72</v>
      </c>
      <c r="O182" s="35" t="s">
        <v>86</v>
      </c>
    </row>
    <row r="183" spans="1:15" ht="90" hidden="1" x14ac:dyDescent="0.25">
      <c r="A183" s="35">
        <v>203</v>
      </c>
      <c r="B183" s="92">
        <v>3</v>
      </c>
      <c r="C183" s="92">
        <v>61</v>
      </c>
      <c r="D183" s="35" t="s">
        <v>73</v>
      </c>
      <c r="E183" s="35" t="s">
        <v>1156</v>
      </c>
      <c r="F183" s="35" t="s">
        <v>1157</v>
      </c>
      <c r="G183" s="35" t="s">
        <v>1158</v>
      </c>
      <c r="H183" s="35" t="s">
        <v>1159</v>
      </c>
      <c r="I183" s="35" t="s">
        <v>1160</v>
      </c>
      <c r="J183" s="35" t="s">
        <v>1158</v>
      </c>
      <c r="K183" s="35" t="s">
        <v>101</v>
      </c>
      <c r="L183" s="35" t="s">
        <v>1161</v>
      </c>
      <c r="M183" s="35" t="s">
        <v>536</v>
      </c>
      <c r="O183" s="35" t="s">
        <v>74</v>
      </c>
    </row>
    <row r="184" spans="1:15" ht="60" hidden="1" x14ac:dyDescent="0.25">
      <c r="A184" s="35">
        <v>204</v>
      </c>
      <c r="B184" s="92">
        <v>3</v>
      </c>
      <c r="C184" s="92">
        <v>62</v>
      </c>
      <c r="D184" s="35" t="s">
        <v>73</v>
      </c>
      <c r="E184" s="35" t="s">
        <v>1162</v>
      </c>
      <c r="F184" s="35" t="s">
        <v>1163</v>
      </c>
      <c r="G184" s="35" t="s">
        <v>1164</v>
      </c>
      <c r="H184" s="35" t="s">
        <v>1165</v>
      </c>
      <c r="I184" s="35" t="s">
        <v>1166</v>
      </c>
      <c r="J184" s="35" t="s">
        <v>1166</v>
      </c>
      <c r="K184" s="35" t="s">
        <v>114</v>
      </c>
      <c r="L184" s="35" t="s">
        <v>1167</v>
      </c>
      <c r="M184" s="35" t="s">
        <v>536</v>
      </c>
      <c r="O184" s="35" t="s">
        <v>74</v>
      </c>
    </row>
    <row r="185" spans="1:15" ht="90" hidden="1" x14ac:dyDescent="0.25">
      <c r="A185" s="35">
        <v>205</v>
      </c>
      <c r="B185" s="92">
        <v>2</v>
      </c>
      <c r="C185" s="92">
        <v>49</v>
      </c>
      <c r="D185" s="35" t="s">
        <v>73</v>
      </c>
      <c r="E185" s="35" t="s">
        <v>1168</v>
      </c>
      <c r="F185" s="35" t="s">
        <v>568</v>
      </c>
      <c r="G185" s="35" t="s">
        <v>1169</v>
      </c>
      <c r="H185" s="35" t="s">
        <v>1170</v>
      </c>
      <c r="I185" s="35" t="s">
        <v>1171</v>
      </c>
      <c r="J185" s="35" t="s">
        <v>1169</v>
      </c>
      <c r="K185" s="35" t="s">
        <v>101</v>
      </c>
      <c r="L185" s="35" t="s">
        <v>1172</v>
      </c>
      <c r="M185" s="35" t="s">
        <v>95</v>
      </c>
      <c r="O185" s="35" t="s">
        <v>86</v>
      </c>
    </row>
    <row r="186" spans="1:15" ht="60" hidden="1" x14ac:dyDescent="0.25">
      <c r="A186" s="35">
        <v>206</v>
      </c>
      <c r="B186" s="92">
        <v>2</v>
      </c>
      <c r="C186" s="92">
        <v>50</v>
      </c>
      <c r="D186" s="35" t="s">
        <v>73</v>
      </c>
      <c r="E186" s="35" t="s">
        <v>1173</v>
      </c>
      <c r="F186" s="35" t="s">
        <v>1174</v>
      </c>
      <c r="G186" s="35" t="s">
        <v>1175</v>
      </c>
      <c r="H186" s="35" t="s">
        <v>1176</v>
      </c>
      <c r="I186" s="35" t="s">
        <v>1177</v>
      </c>
      <c r="J186" s="35" t="s">
        <v>1176</v>
      </c>
      <c r="K186" s="35" t="s">
        <v>82</v>
      </c>
      <c r="L186" s="35" t="s">
        <v>1178</v>
      </c>
      <c r="M186" s="35" t="s">
        <v>95</v>
      </c>
      <c r="O186" s="35" t="s">
        <v>74</v>
      </c>
    </row>
    <row r="187" spans="1:15" ht="180" hidden="1" x14ac:dyDescent="0.25">
      <c r="A187" s="35">
        <v>207</v>
      </c>
      <c r="B187" s="92">
        <v>2</v>
      </c>
      <c r="C187" s="92">
        <v>51</v>
      </c>
      <c r="D187" s="35" t="s">
        <v>73</v>
      </c>
      <c r="E187" s="35" t="s">
        <v>1179</v>
      </c>
      <c r="F187" s="35" t="s">
        <v>1180</v>
      </c>
      <c r="G187" s="35" t="s">
        <v>1181</v>
      </c>
      <c r="H187" s="35" t="s">
        <v>1182</v>
      </c>
      <c r="I187" s="35" t="s">
        <v>1183</v>
      </c>
      <c r="J187" s="35" t="s">
        <v>1183</v>
      </c>
      <c r="K187" s="35" t="s">
        <v>114</v>
      </c>
      <c r="L187" s="35" t="s">
        <v>1184</v>
      </c>
      <c r="M187" s="35" t="s">
        <v>95</v>
      </c>
      <c r="O187" s="35" t="s">
        <v>74</v>
      </c>
    </row>
    <row r="188" spans="1:15" ht="120" hidden="1" x14ac:dyDescent="0.25">
      <c r="A188" s="35">
        <v>208</v>
      </c>
      <c r="B188" s="92">
        <v>5</v>
      </c>
      <c r="C188" s="92">
        <v>53</v>
      </c>
      <c r="D188" s="35" t="s">
        <v>3689</v>
      </c>
      <c r="E188" s="35" t="s">
        <v>1185</v>
      </c>
      <c r="F188" s="35" t="s">
        <v>1186</v>
      </c>
      <c r="G188" s="35" t="s">
        <v>1187</v>
      </c>
      <c r="H188" s="35" t="s">
        <v>1188</v>
      </c>
      <c r="I188" s="35" t="s">
        <v>1189</v>
      </c>
      <c r="J188" s="35" t="s">
        <v>1189</v>
      </c>
      <c r="K188" s="35" t="s">
        <v>114</v>
      </c>
      <c r="L188" s="35" t="s">
        <v>1190</v>
      </c>
      <c r="M188" s="35" t="s">
        <v>95</v>
      </c>
      <c r="O188" s="35" t="s">
        <v>86</v>
      </c>
    </row>
    <row r="189" spans="1:15" ht="75" hidden="1" x14ac:dyDescent="0.25">
      <c r="A189" s="35">
        <v>209</v>
      </c>
      <c r="B189" s="92">
        <v>2</v>
      </c>
      <c r="C189" s="92">
        <v>52</v>
      </c>
      <c r="D189" s="35" t="s">
        <v>73</v>
      </c>
      <c r="E189" s="35" t="s">
        <v>1191</v>
      </c>
      <c r="F189" s="35" t="s">
        <v>1192</v>
      </c>
      <c r="G189" s="35" t="s">
        <v>1193</v>
      </c>
      <c r="H189" s="35" t="s">
        <v>1194</v>
      </c>
      <c r="I189" s="35" t="s">
        <v>1195</v>
      </c>
      <c r="J189" s="35" t="s">
        <v>1193</v>
      </c>
      <c r="K189" s="35" t="s">
        <v>101</v>
      </c>
      <c r="L189" s="35" t="s">
        <v>1196</v>
      </c>
      <c r="M189" s="35" t="s">
        <v>95</v>
      </c>
      <c r="O189" s="35" t="s">
        <v>74</v>
      </c>
    </row>
    <row r="190" spans="1:15" ht="60" x14ac:dyDescent="0.25">
      <c r="A190" s="35">
        <v>210</v>
      </c>
      <c r="B190" s="92">
        <v>1</v>
      </c>
      <c r="C190" s="92">
        <v>20</v>
      </c>
      <c r="D190" s="35" t="s">
        <v>73</v>
      </c>
      <c r="E190" s="35" t="s">
        <v>1197</v>
      </c>
      <c r="F190" s="35" t="s">
        <v>1198</v>
      </c>
      <c r="G190" s="35" t="s">
        <v>1199</v>
      </c>
      <c r="H190" s="35" t="s">
        <v>1200</v>
      </c>
      <c r="I190" s="35" t="s">
        <v>1201</v>
      </c>
      <c r="J190" s="35" t="s">
        <v>1198</v>
      </c>
      <c r="K190" s="35" t="s">
        <v>69</v>
      </c>
      <c r="L190" s="35" t="s">
        <v>1202</v>
      </c>
      <c r="M190" s="35" t="s">
        <v>72</v>
      </c>
      <c r="O190" s="35" t="s">
        <v>74</v>
      </c>
    </row>
    <row r="191" spans="1:15" ht="135" hidden="1" x14ac:dyDescent="0.25">
      <c r="A191" s="35">
        <v>211</v>
      </c>
      <c r="B191" s="92">
        <v>5</v>
      </c>
      <c r="C191" s="92">
        <v>54</v>
      </c>
      <c r="D191" s="35" t="s">
        <v>3689</v>
      </c>
      <c r="E191" s="35" t="s">
        <v>1203</v>
      </c>
      <c r="F191" s="35" t="s">
        <v>1204</v>
      </c>
      <c r="G191" s="35" t="s">
        <v>1205</v>
      </c>
      <c r="H191" s="35" t="s">
        <v>1206</v>
      </c>
      <c r="I191" s="35" t="s">
        <v>74</v>
      </c>
      <c r="J191" s="35" t="s">
        <v>1205</v>
      </c>
      <c r="K191" s="35" t="s">
        <v>101</v>
      </c>
      <c r="L191" s="35" t="s">
        <v>1207</v>
      </c>
      <c r="M191" s="35" t="s">
        <v>72</v>
      </c>
      <c r="O191" s="35" t="s">
        <v>74</v>
      </c>
    </row>
    <row r="192" spans="1:15" ht="90" hidden="1" x14ac:dyDescent="0.25">
      <c r="A192" s="35">
        <v>212</v>
      </c>
      <c r="B192" s="92">
        <v>3</v>
      </c>
      <c r="C192" s="92">
        <v>63</v>
      </c>
      <c r="D192" s="35" t="s">
        <v>73</v>
      </c>
      <c r="E192" s="35" t="s">
        <v>1208</v>
      </c>
      <c r="F192" s="35" t="s">
        <v>1209</v>
      </c>
      <c r="G192" s="35" t="s">
        <v>1210</v>
      </c>
      <c r="H192" s="35" t="s">
        <v>1211</v>
      </c>
      <c r="I192" s="35" t="s">
        <v>1212</v>
      </c>
      <c r="J192" s="35" t="s">
        <v>1209</v>
      </c>
      <c r="K192" s="35" t="s">
        <v>69</v>
      </c>
      <c r="L192" s="35" t="s">
        <v>1213</v>
      </c>
      <c r="M192" s="35" t="s">
        <v>536</v>
      </c>
      <c r="O192" s="35" t="s">
        <v>122</v>
      </c>
    </row>
    <row r="193" spans="1:15" ht="75" hidden="1" x14ac:dyDescent="0.25">
      <c r="A193" s="35">
        <v>213</v>
      </c>
      <c r="B193" s="92">
        <v>5</v>
      </c>
      <c r="C193" s="92">
        <v>55</v>
      </c>
      <c r="D193" s="35" t="s">
        <v>3689</v>
      </c>
      <c r="E193" s="35" t="s">
        <v>1214</v>
      </c>
      <c r="F193" s="35" t="s">
        <v>1215</v>
      </c>
      <c r="G193" s="35" t="s">
        <v>1216</v>
      </c>
      <c r="H193" s="35" t="s">
        <v>1217</v>
      </c>
      <c r="I193" s="35" t="s">
        <v>1218</v>
      </c>
      <c r="J193" s="35" t="s">
        <v>1217</v>
      </c>
      <c r="K193" s="35" t="s">
        <v>82</v>
      </c>
      <c r="L193" s="35" t="s">
        <v>1219</v>
      </c>
      <c r="M193" s="35" t="s">
        <v>72</v>
      </c>
      <c r="O193" s="35" t="s">
        <v>74</v>
      </c>
    </row>
    <row r="194" spans="1:15" ht="75" hidden="1" x14ac:dyDescent="0.25">
      <c r="A194" s="35">
        <v>214</v>
      </c>
      <c r="B194" s="92">
        <v>5</v>
      </c>
      <c r="C194" s="92">
        <v>56</v>
      </c>
      <c r="D194" s="35" t="s">
        <v>3689</v>
      </c>
      <c r="E194" s="35" t="s">
        <v>1220</v>
      </c>
      <c r="F194" s="35" t="s">
        <v>1221</v>
      </c>
      <c r="G194" s="35" t="s">
        <v>1222</v>
      </c>
      <c r="H194" s="35" t="s">
        <v>1223</v>
      </c>
      <c r="I194" s="35" t="s">
        <v>1224</v>
      </c>
      <c r="J194" s="35" t="s">
        <v>1221</v>
      </c>
      <c r="K194" s="35" t="s">
        <v>69</v>
      </c>
      <c r="L194" s="35" t="s">
        <v>1225</v>
      </c>
      <c r="M194" s="35" t="s">
        <v>72</v>
      </c>
      <c r="O194" s="35" t="s">
        <v>86</v>
      </c>
    </row>
    <row r="195" spans="1:15" ht="75" hidden="1" x14ac:dyDescent="0.25">
      <c r="A195" s="35">
        <v>215</v>
      </c>
      <c r="B195" s="92">
        <v>3</v>
      </c>
      <c r="C195" s="92">
        <v>64</v>
      </c>
      <c r="D195" s="35" t="s">
        <v>73</v>
      </c>
      <c r="E195" s="35" t="s">
        <v>1226</v>
      </c>
      <c r="F195" s="35" t="s">
        <v>1227</v>
      </c>
      <c r="G195" s="35" t="s">
        <v>1228</v>
      </c>
      <c r="H195" s="35" t="s">
        <v>1229</v>
      </c>
      <c r="I195" s="35" t="s">
        <v>1230</v>
      </c>
      <c r="J195" s="35" t="s">
        <v>1227</v>
      </c>
      <c r="K195" s="35" t="s">
        <v>69</v>
      </c>
      <c r="L195" s="35" t="s">
        <v>1231</v>
      </c>
      <c r="M195" s="35" t="s">
        <v>536</v>
      </c>
      <c r="O195" s="35" t="s">
        <v>86</v>
      </c>
    </row>
    <row r="196" spans="1:15" ht="105" hidden="1" x14ac:dyDescent="0.25">
      <c r="A196" s="35">
        <v>216</v>
      </c>
      <c r="B196" s="92">
        <v>5</v>
      </c>
      <c r="C196" s="92">
        <v>57</v>
      </c>
      <c r="D196" s="35" t="s">
        <v>3689</v>
      </c>
      <c r="E196" s="35" t="s">
        <v>1232</v>
      </c>
      <c r="F196" s="35" t="s">
        <v>1233</v>
      </c>
      <c r="G196" s="35" t="s">
        <v>1234</v>
      </c>
      <c r="H196" s="35" t="s">
        <v>1235</v>
      </c>
      <c r="I196" s="35" t="s">
        <v>1236</v>
      </c>
      <c r="J196" s="35" t="s">
        <v>1234</v>
      </c>
      <c r="K196" s="35" t="s">
        <v>101</v>
      </c>
      <c r="L196" s="35" t="s">
        <v>1237</v>
      </c>
      <c r="M196" s="35" t="s">
        <v>536</v>
      </c>
      <c r="O196" s="35" t="s">
        <v>122</v>
      </c>
    </row>
    <row r="197" spans="1:15" ht="120" hidden="1" x14ac:dyDescent="0.25">
      <c r="A197" s="35">
        <v>217</v>
      </c>
      <c r="B197" s="92">
        <v>5</v>
      </c>
      <c r="C197" s="92">
        <v>58</v>
      </c>
      <c r="D197" s="35" t="s">
        <v>3689</v>
      </c>
      <c r="E197" s="35" t="s">
        <v>1238</v>
      </c>
      <c r="F197" s="35" t="s">
        <v>1239</v>
      </c>
      <c r="G197" s="35" t="s">
        <v>1240</v>
      </c>
      <c r="H197" s="35" t="s">
        <v>1241</v>
      </c>
      <c r="I197" s="35" t="s">
        <v>1242</v>
      </c>
      <c r="J197" s="35" t="s">
        <v>1241</v>
      </c>
      <c r="K197" s="35" t="s">
        <v>82</v>
      </c>
      <c r="L197" s="35" t="s">
        <v>1243</v>
      </c>
      <c r="M197" s="35" t="s">
        <v>536</v>
      </c>
      <c r="O197" s="35" t="s">
        <v>86</v>
      </c>
    </row>
    <row r="198" spans="1:15" ht="105" hidden="1" x14ac:dyDescent="0.25">
      <c r="A198" s="35">
        <v>218</v>
      </c>
      <c r="B198" s="92">
        <v>3</v>
      </c>
      <c r="C198" s="92">
        <v>65</v>
      </c>
      <c r="D198" s="35" t="s">
        <v>73</v>
      </c>
      <c r="E198" s="35" t="s">
        <v>1244</v>
      </c>
      <c r="F198" s="35" t="s">
        <v>1245</v>
      </c>
      <c r="G198" s="35" t="s">
        <v>1246</v>
      </c>
      <c r="H198" s="35" t="s">
        <v>1247</v>
      </c>
      <c r="I198" s="35" t="s">
        <v>1248</v>
      </c>
      <c r="J198" s="35" t="s">
        <v>1247</v>
      </c>
      <c r="K198" s="35" t="s">
        <v>82</v>
      </c>
      <c r="L198" s="35" t="s">
        <v>1249</v>
      </c>
      <c r="M198" s="35" t="s">
        <v>536</v>
      </c>
      <c r="O198" s="35" t="s">
        <v>74</v>
      </c>
    </row>
    <row r="199" spans="1:15" ht="150" hidden="1" x14ac:dyDescent="0.25">
      <c r="A199" s="35">
        <v>219</v>
      </c>
      <c r="B199" s="92">
        <v>3</v>
      </c>
      <c r="C199" s="92">
        <v>66</v>
      </c>
      <c r="D199" s="35" t="s">
        <v>73</v>
      </c>
      <c r="E199" s="35" t="s">
        <v>1250</v>
      </c>
      <c r="F199" s="35" t="s">
        <v>1251</v>
      </c>
      <c r="G199" s="35" t="s">
        <v>1252</v>
      </c>
      <c r="H199" s="35" t="s">
        <v>1253</v>
      </c>
      <c r="I199" s="35" t="s">
        <v>1254</v>
      </c>
      <c r="J199" s="35" t="s">
        <v>1253</v>
      </c>
      <c r="K199" s="35" t="s">
        <v>82</v>
      </c>
      <c r="L199" s="35" t="s">
        <v>1255</v>
      </c>
      <c r="M199" s="35" t="s">
        <v>536</v>
      </c>
      <c r="O199" s="35" t="s">
        <v>74</v>
      </c>
    </row>
    <row r="200" spans="1:15" ht="150" hidden="1" x14ac:dyDescent="0.25">
      <c r="A200" s="35">
        <v>220</v>
      </c>
      <c r="B200" s="92">
        <v>2</v>
      </c>
      <c r="C200" s="92">
        <v>53</v>
      </c>
      <c r="D200" s="35" t="s">
        <v>73</v>
      </c>
      <c r="E200" s="35" t="s">
        <v>1256</v>
      </c>
      <c r="F200" s="35" t="s">
        <v>1257</v>
      </c>
      <c r="G200" s="35" t="s">
        <v>1258</v>
      </c>
      <c r="H200" s="35" t="s">
        <v>1259</v>
      </c>
      <c r="I200" s="35" t="s">
        <v>1260</v>
      </c>
      <c r="J200" s="35" t="s">
        <v>1257</v>
      </c>
      <c r="K200" s="35" t="s">
        <v>69</v>
      </c>
      <c r="L200" s="35" t="s">
        <v>1261</v>
      </c>
      <c r="M200" s="35" t="s">
        <v>95</v>
      </c>
      <c r="O200" s="35" t="s">
        <v>122</v>
      </c>
    </row>
    <row r="201" spans="1:15" ht="90" x14ac:dyDescent="0.25">
      <c r="A201" s="35">
        <v>221</v>
      </c>
      <c r="B201" s="92">
        <v>1</v>
      </c>
      <c r="C201" s="92">
        <v>21</v>
      </c>
      <c r="D201" s="35" t="s">
        <v>73</v>
      </c>
      <c r="E201" s="35" t="s">
        <v>1262</v>
      </c>
      <c r="F201" s="35" t="s">
        <v>1263</v>
      </c>
      <c r="G201" s="35" t="s">
        <v>1264</v>
      </c>
      <c r="H201" s="35" t="s">
        <v>1265</v>
      </c>
      <c r="I201" s="35" t="s">
        <v>1266</v>
      </c>
      <c r="J201" s="35" t="s">
        <v>1263</v>
      </c>
      <c r="K201" s="35" t="s">
        <v>69</v>
      </c>
      <c r="L201" s="35" t="s">
        <v>1267</v>
      </c>
      <c r="M201" s="35" t="s">
        <v>72</v>
      </c>
      <c r="O201" s="35" t="s">
        <v>74</v>
      </c>
    </row>
    <row r="202" spans="1:15" ht="120" x14ac:dyDescent="0.25">
      <c r="A202" s="35">
        <v>222</v>
      </c>
      <c r="B202" s="92">
        <v>1</v>
      </c>
      <c r="C202" s="92">
        <v>22</v>
      </c>
      <c r="D202" s="35" t="s">
        <v>73</v>
      </c>
      <c r="E202" s="35" t="s">
        <v>1268</v>
      </c>
      <c r="F202" s="35" t="s">
        <v>1269</v>
      </c>
      <c r="G202" s="35" t="s">
        <v>1270</v>
      </c>
      <c r="H202" s="35" t="s">
        <v>1271</v>
      </c>
      <c r="I202" s="35" t="s">
        <v>1272</v>
      </c>
      <c r="J202" s="35" t="s">
        <v>1270</v>
      </c>
      <c r="K202" s="35" t="s">
        <v>101</v>
      </c>
      <c r="L202" s="35" t="s">
        <v>1273</v>
      </c>
      <c r="M202" s="35" t="s">
        <v>72</v>
      </c>
      <c r="O202" s="35" t="s">
        <v>74</v>
      </c>
    </row>
    <row r="203" spans="1:15" ht="105" hidden="1" x14ac:dyDescent="0.25">
      <c r="A203" s="35">
        <v>223</v>
      </c>
      <c r="B203" s="92">
        <v>5</v>
      </c>
      <c r="C203" s="92">
        <v>59</v>
      </c>
      <c r="D203" s="35" t="s">
        <v>3689</v>
      </c>
      <c r="E203" s="35" t="s">
        <v>1274</v>
      </c>
      <c r="F203" s="35" t="s">
        <v>1275</v>
      </c>
      <c r="G203" s="35" t="s">
        <v>1276</v>
      </c>
      <c r="H203" s="35" t="s">
        <v>1277</v>
      </c>
      <c r="I203" s="35" t="s">
        <v>1278</v>
      </c>
      <c r="J203" s="35" t="s">
        <v>1278</v>
      </c>
      <c r="K203" s="35" t="s">
        <v>114</v>
      </c>
      <c r="L203" s="35" t="s">
        <v>1279</v>
      </c>
      <c r="M203" s="35" t="s">
        <v>536</v>
      </c>
      <c r="O203" s="35" t="s">
        <v>74</v>
      </c>
    </row>
    <row r="204" spans="1:15" ht="75" hidden="1" x14ac:dyDescent="0.25">
      <c r="A204" s="35">
        <v>224</v>
      </c>
      <c r="B204" s="92">
        <v>5</v>
      </c>
      <c r="C204" s="92">
        <v>60</v>
      </c>
      <c r="D204" s="35" t="s">
        <v>3689</v>
      </c>
      <c r="E204" s="35" t="s">
        <v>1280</v>
      </c>
      <c r="F204" s="35" t="s">
        <v>1281</v>
      </c>
      <c r="G204" s="35" t="s">
        <v>1282</v>
      </c>
      <c r="H204" s="35" t="s">
        <v>1283</v>
      </c>
      <c r="I204" s="35" t="s">
        <v>1284</v>
      </c>
      <c r="J204" s="35" t="s">
        <v>1282</v>
      </c>
      <c r="K204" s="35" t="s">
        <v>101</v>
      </c>
      <c r="L204" s="35" t="s">
        <v>1285</v>
      </c>
      <c r="M204" s="35" t="s">
        <v>72</v>
      </c>
      <c r="O204" s="35" t="s">
        <v>74</v>
      </c>
    </row>
    <row r="205" spans="1:15" ht="60" hidden="1" x14ac:dyDescent="0.25">
      <c r="A205" s="35">
        <v>225</v>
      </c>
      <c r="B205" s="92">
        <v>3</v>
      </c>
      <c r="C205" s="92">
        <v>67</v>
      </c>
      <c r="D205" s="35" t="s">
        <v>73</v>
      </c>
      <c r="E205" s="35" t="s">
        <v>1286</v>
      </c>
      <c r="F205" s="35" t="s">
        <v>1287</v>
      </c>
      <c r="G205" s="35" t="s">
        <v>1288</v>
      </c>
      <c r="H205" s="35" t="s">
        <v>1289</v>
      </c>
      <c r="I205" s="35" t="s">
        <v>1290</v>
      </c>
      <c r="J205" s="35" t="s">
        <v>1287</v>
      </c>
      <c r="K205" s="35" t="s">
        <v>69</v>
      </c>
      <c r="L205" s="35" t="s">
        <v>1291</v>
      </c>
      <c r="M205" s="35" t="s">
        <v>536</v>
      </c>
      <c r="O205" s="35" t="s">
        <v>74</v>
      </c>
    </row>
    <row r="206" spans="1:15" ht="150" hidden="1" x14ac:dyDescent="0.25">
      <c r="A206" s="35">
        <v>226</v>
      </c>
      <c r="B206" s="92">
        <v>3</v>
      </c>
      <c r="C206" s="92">
        <v>68</v>
      </c>
      <c r="D206" s="35" t="s">
        <v>73</v>
      </c>
      <c r="E206" s="35" t="s">
        <v>1292</v>
      </c>
      <c r="F206" s="35" t="s">
        <v>1293</v>
      </c>
      <c r="G206" s="35" t="s">
        <v>1294</v>
      </c>
      <c r="H206" s="35" t="s">
        <v>1295</v>
      </c>
      <c r="I206" s="35" t="s">
        <v>1296</v>
      </c>
      <c r="J206" s="35" t="s">
        <v>1294</v>
      </c>
      <c r="K206" s="35" t="s">
        <v>101</v>
      </c>
      <c r="L206" s="35" t="s">
        <v>1297</v>
      </c>
      <c r="M206" s="35" t="s">
        <v>536</v>
      </c>
      <c r="O206" s="35" t="s">
        <v>86</v>
      </c>
    </row>
    <row r="207" spans="1:15" ht="120" hidden="1" x14ac:dyDescent="0.25">
      <c r="A207" s="35">
        <v>228</v>
      </c>
      <c r="B207" s="92">
        <v>2</v>
      </c>
      <c r="C207" s="92">
        <v>54</v>
      </c>
      <c r="D207" s="35" t="s">
        <v>73</v>
      </c>
      <c r="E207" s="35" t="s">
        <v>1298</v>
      </c>
      <c r="F207" s="35" t="s">
        <v>981</v>
      </c>
      <c r="G207" s="35" t="s">
        <v>1299</v>
      </c>
      <c r="H207" s="35" t="s">
        <v>1300</v>
      </c>
      <c r="I207" s="35" t="s">
        <v>1301</v>
      </c>
      <c r="J207" s="35" t="s">
        <v>1301</v>
      </c>
      <c r="K207" s="35" t="s">
        <v>114</v>
      </c>
      <c r="L207" s="35" t="s">
        <v>1302</v>
      </c>
      <c r="M207" s="35" t="s">
        <v>95</v>
      </c>
      <c r="O207" s="35" t="s">
        <v>74</v>
      </c>
    </row>
    <row r="208" spans="1:15" ht="120" hidden="1" x14ac:dyDescent="0.25">
      <c r="A208" s="35">
        <v>229</v>
      </c>
      <c r="B208" s="92">
        <v>2</v>
      </c>
      <c r="C208" s="92">
        <v>55</v>
      </c>
      <c r="D208" s="35" t="s">
        <v>73</v>
      </c>
      <c r="E208" s="35" t="s">
        <v>1303</v>
      </c>
      <c r="F208" s="35" t="s">
        <v>1304</v>
      </c>
      <c r="G208" s="35" t="s">
        <v>1305</v>
      </c>
      <c r="H208" s="35" t="s">
        <v>1306</v>
      </c>
      <c r="I208" s="35" t="s">
        <v>1307</v>
      </c>
      <c r="J208" s="35" t="s">
        <v>1306</v>
      </c>
      <c r="K208" s="35" t="s">
        <v>82</v>
      </c>
      <c r="L208" s="35" t="s">
        <v>1308</v>
      </c>
      <c r="M208" s="35" t="s">
        <v>95</v>
      </c>
      <c r="O208" s="35" t="s">
        <v>74</v>
      </c>
    </row>
    <row r="209" spans="1:15" ht="105" hidden="1" x14ac:dyDescent="0.25">
      <c r="A209" s="35">
        <v>230</v>
      </c>
      <c r="B209" s="92">
        <v>2</v>
      </c>
      <c r="C209" s="92">
        <v>56</v>
      </c>
      <c r="D209" s="35" t="s">
        <v>73</v>
      </c>
      <c r="E209" s="35" t="s">
        <v>1309</v>
      </c>
      <c r="F209" s="35" t="s">
        <v>1310</v>
      </c>
      <c r="G209" s="35" t="s">
        <v>1311</v>
      </c>
      <c r="H209" s="35" t="s">
        <v>1312</v>
      </c>
      <c r="I209" s="35" t="s">
        <v>1313</v>
      </c>
      <c r="J209" s="35" t="s">
        <v>1312</v>
      </c>
      <c r="K209" s="35" t="s">
        <v>82</v>
      </c>
      <c r="L209" s="35" t="s">
        <v>1314</v>
      </c>
      <c r="M209" s="35" t="s">
        <v>95</v>
      </c>
      <c r="O209" s="35" t="s">
        <v>86</v>
      </c>
    </row>
    <row r="210" spans="1:15" ht="105" x14ac:dyDescent="0.25">
      <c r="A210" s="35">
        <v>231</v>
      </c>
      <c r="B210" s="92">
        <v>1</v>
      </c>
      <c r="C210" s="92">
        <v>23</v>
      </c>
      <c r="D210" s="35" t="s">
        <v>73</v>
      </c>
      <c r="E210" s="35" t="s">
        <v>1315</v>
      </c>
      <c r="F210" s="35" t="s">
        <v>1316</v>
      </c>
      <c r="G210" s="35" t="s">
        <v>1317</v>
      </c>
      <c r="H210" s="35" t="s">
        <v>1318</v>
      </c>
      <c r="I210" s="35" t="s">
        <v>1319</v>
      </c>
      <c r="J210" s="35" t="s">
        <v>1318</v>
      </c>
      <c r="K210" s="35" t="s">
        <v>82</v>
      </c>
      <c r="L210" s="35" t="s">
        <v>1320</v>
      </c>
      <c r="M210" s="35" t="s">
        <v>72</v>
      </c>
      <c r="O210" s="35" t="s">
        <v>86</v>
      </c>
    </row>
    <row r="211" spans="1:15" ht="60" hidden="1" x14ac:dyDescent="0.25">
      <c r="A211" s="35">
        <v>232</v>
      </c>
      <c r="B211" s="92">
        <v>2</v>
      </c>
      <c r="C211" s="92">
        <v>57</v>
      </c>
      <c r="D211" s="35" t="s">
        <v>73</v>
      </c>
      <c r="E211" s="35" t="s">
        <v>1321</v>
      </c>
      <c r="F211" s="35" t="s">
        <v>1322</v>
      </c>
      <c r="G211" s="35" t="s">
        <v>1323</v>
      </c>
      <c r="H211" s="35" t="s">
        <v>1324</v>
      </c>
      <c r="I211" s="35" t="s">
        <v>1325</v>
      </c>
      <c r="J211" s="35" t="s">
        <v>1324</v>
      </c>
      <c r="K211" s="35" t="s">
        <v>82</v>
      </c>
      <c r="L211" s="35" t="s">
        <v>1326</v>
      </c>
      <c r="M211" s="35" t="s">
        <v>95</v>
      </c>
      <c r="O211" s="35" t="s">
        <v>74</v>
      </c>
    </row>
    <row r="212" spans="1:15" ht="150" hidden="1" x14ac:dyDescent="0.25">
      <c r="A212" s="35">
        <v>233</v>
      </c>
      <c r="B212" s="92">
        <v>2</v>
      </c>
      <c r="C212" s="92">
        <v>58</v>
      </c>
      <c r="D212" s="35" t="s">
        <v>73</v>
      </c>
      <c r="E212" s="35" t="s">
        <v>1327</v>
      </c>
      <c r="F212" s="35" t="s">
        <v>1328</v>
      </c>
      <c r="G212" s="35" t="s">
        <v>1329</v>
      </c>
      <c r="H212" s="35" t="s">
        <v>1330</v>
      </c>
      <c r="I212" s="35" t="s">
        <v>1331</v>
      </c>
      <c r="J212" s="35" t="s">
        <v>1329</v>
      </c>
      <c r="K212" s="35" t="s">
        <v>101</v>
      </c>
      <c r="L212" s="35" t="s">
        <v>1332</v>
      </c>
      <c r="M212" s="35" t="s">
        <v>95</v>
      </c>
      <c r="O212" s="35" t="s">
        <v>74</v>
      </c>
    </row>
    <row r="213" spans="1:15" ht="75" hidden="1" x14ac:dyDescent="0.25">
      <c r="A213" s="35">
        <v>234</v>
      </c>
      <c r="B213" s="92">
        <v>5</v>
      </c>
      <c r="C213" s="92">
        <v>61</v>
      </c>
      <c r="D213" s="35" t="s">
        <v>3689</v>
      </c>
      <c r="E213" s="35" t="s">
        <v>1333</v>
      </c>
      <c r="F213" s="35" t="s">
        <v>1334</v>
      </c>
      <c r="G213" s="35" t="s">
        <v>1335</v>
      </c>
      <c r="H213" s="35" t="s">
        <v>1336</v>
      </c>
      <c r="I213" s="35" t="s">
        <v>1337</v>
      </c>
      <c r="J213" s="35" t="s">
        <v>1335</v>
      </c>
      <c r="K213" s="35" t="s">
        <v>101</v>
      </c>
      <c r="L213" s="35" t="s">
        <v>1338</v>
      </c>
      <c r="M213" s="35" t="s">
        <v>72</v>
      </c>
      <c r="O213" s="35" t="s">
        <v>74</v>
      </c>
    </row>
    <row r="214" spans="1:15" ht="60" hidden="1" x14ac:dyDescent="0.25">
      <c r="A214" s="35">
        <v>235</v>
      </c>
      <c r="B214" s="92">
        <v>2</v>
      </c>
      <c r="C214" s="92">
        <v>59</v>
      </c>
      <c r="D214" s="35" t="s">
        <v>73</v>
      </c>
      <c r="E214" s="35" t="s">
        <v>1339</v>
      </c>
      <c r="F214" s="35" t="s">
        <v>1340</v>
      </c>
      <c r="G214" s="35" t="s">
        <v>1341</v>
      </c>
      <c r="H214" s="35" t="s">
        <v>1342</v>
      </c>
      <c r="I214" s="35" t="s">
        <v>1343</v>
      </c>
      <c r="J214" s="35" t="s">
        <v>1340</v>
      </c>
      <c r="K214" s="35" t="s">
        <v>69</v>
      </c>
      <c r="L214" s="35" t="s">
        <v>1344</v>
      </c>
      <c r="M214" s="35" t="s">
        <v>95</v>
      </c>
      <c r="O214" s="35" t="s">
        <v>74</v>
      </c>
    </row>
    <row r="215" spans="1:15" ht="45" x14ac:dyDescent="0.25">
      <c r="A215" s="35">
        <v>236</v>
      </c>
      <c r="B215" s="92">
        <v>1</v>
      </c>
      <c r="C215" s="92">
        <v>24</v>
      </c>
      <c r="D215" s="35" t="s">
        <v>73</v>
      </c>
      <c r="E215" s="35" t="s">
        <v>1345</v>
      </c>
      <c r="F215" s="35" t="s">
        <v>1346</v>
      </c>
      <c r="G215" s="35" t="s">
        <v>1347</v>
      </c>
      <c r="H215" s="35" t="s">
        <v>1348</v>
      </c>
      <c r="I215" s="35" t="s">
        <v>1349</v>
      </c>
      <c r="J215" s="35" t="s">
        <v>1348</v>
      </c>
      <c r="K215" s="35" t="s">
        <v>82</v>
      </c>
      <c r="L215" s="35" t="s">
        <v>1350</v>
      </c>
      <c r="M215" s="35" t="s">
        <v>72</v>
      </c>
      <c r="O215" s="35" t="s">
        <v>74</v>
      </c>
    </row>
    <row r="216" spans="1:15" ht="90" hidden="1" x14ac:dyDescent="0.25">
      <c r="A216" s="35">
        <v>237</v>
      </c>
      <c r="B216" s="92">
        <v>2</v>
      </c>
      <c r="C216" s="92">
        <v>60</v>
      </c>
      <c r="D216" s="35" t="s">
        <v>73</v>
      </c>
      <c r="E216" s="35" t="s">
        <v>1351</v>
      </c>
      <c r="F216" s="35" t="s">
        <v>1352</v>
      </c>
      <c r="G216" s="35" t="s">
        <v>1353</v>
      </c>
      <c r="H216" s="35" t="s">
        <v>1354</v>
      </c>
      <c r="I216" s="35" t="s">
        <v>1355</v>
      </c>
      <c r="J216" s="35" t="s">
        <v>1353</v>
      </c>
      <c r="K216" s="35" t="s">
        <v>101</v>
      </c>
      <c r="L216" s="35" t="s">
        <v>1356</v>
      </c>
      <c r="M216" s="35" t="s">
        <v>95</v>
      </c>
      <c r="O216" s="35" t="s">
        <v>74</v>
      </c>
    </row>
    <row r="217" spans="1:15" ht="75" hidden="1" x14ac:dyDescent="0.25">
      <c r="A217" s="35">
        <v>238</v>
      </c>
      <c r="B217" s="92">
        <v>2</v>
      </c>
      <c r="C217" s="92">
        <v>61</v>
      </c>
      <c r="D217" s="35" t="s">
        <v>73</v>
      </c>
      <c r="E217" s="35" t="s">
        <v>1357</v>
      </c>
      <c r="F217" s="35" t="s">
        <v>1358</v>
      </c>
      <c r="G217" s="35" t="s">
        <v>1359</v>
      </c>
      <c r="H217" s="35" t="s">
        <v>1360</v>
      </c>
      <c r="I217" s="35" t="s">
        <v>1361</v>
      </c>
      <c r="J217" s="35" t="s">
        <v>1358</v>
      </c>
      <c r="K217" s="35" t="s">
        <v>69</v>
      </c>
      <c r="L217" s="35" t="s">
        <v>1362</v>
      </c>
      <c r="M217" s="35" t="s">
        <v>95</v>
      </c>
      <c r="O217" s="35" t="s">
        <v>74</v>
      </c>
    </row>
    <row r="218" spans="1:15" ht="120" hidden="1" x14ac:dyDescent="0.25">
      <c r="A218" s="35">
        <v>239</v>
      </c>
      <c r="B218" s="92">
        <v>5</v>
      </c>
      <c r="C218" s="92">
        <v>62</v>
      </c>
      <c r="D218" s="35" t="s">
        <v>3689</v>
      </c>
      <c r="E218" s="35" t="s">
        <v>1363</v>
      </c>
      <c r="F218" s="35" t="s">
        <v>1364</v>
      </c>
      <c r="G218" s="35" t="s">
        <v>1365</v>
      </c>
      <c r="H218" s="35" t="s">
        <v>1366</v>
      </c>
      <c r="I218" s="35" t="s">
        <v>1367</v>
      </c>
      <c r="J218" s="35" t="s">
        <v>1366</v>
      </c>
      <c r="K218" s="35" t="s">
        <v>82</v>
      </c>
      <c r="L218" s="35" t="s">
        <v>1368</v>
      </c>
      <c r="M218" s="35" t="s">
        <v>95</v>
      </c>
      <c r="O218" s="35" t="s">
        <v>86</v>
      </c>
    </row>
    <row r="219" spans="1:15" ht="90" hidden="1" x14ac:dyDescent="0.25">
      <c r="A219" s="35">
        <v>240</v>
      </c>
      <c r="B219" s="92">
        <v>5</v>
      </c>
      <c r="C219" s="92">
        <v>63</v>
      </c>
      <c r="D219" s="35" t="s">
        <v>3689</v>
      </c>
      <c r="E219" s="35" t="s">
        <v>1369</v>
      </c>
      <c r="F219" s="35" t="s">
        <v>1370</v>
      </c>
      <c r="G219" s="35" t="s">
        <v>1371</v>
      </c>
      <c r="H219" s="35" t="s">
        <v>1372</v>
      </c>
      <c r="I219" s="35" t="s">
        <v>1373</v>
      </c>
      <c r="J219" s="35" t="s">
        <v>1370</v>
      </c>
      <c r="K219" s="35" t="s">
        <v>69</v>
      </c>
      <c r="L219" s="35" t="s">
        <v>1374</v>
      </c>
      <c r="M219" s="35" t="s">
        <v>95</v>
      </c>
      <c r="O219" s="35" t="s">
        <v>122</v>
      </c>
    </row>
    <row r="220" spans="1:15" ht="120" hidden="1" x14ac:dyDescent="0.25">
      <c r="A220" s="35">
        <v>241</v>
      </c>
      <c r="B220" s="92">
        <v>2</v>
      </c>
      <c r="C220" s="92">
        <v>62</v>
      </c>
      <c r="D220" s="35" t="s">
        <v>73</v>
      </c>
      <c r="E220" s="35" t="s">
        <v>1375</v>
      </c>
      <c r="F220" s="35" t="s">
        <v>1376</v>
      </c>
      <c r="G220" s="35" t="s">
        <v>1377</v>
      </c>
      <c r="H220" s="35" t="s">
        <v>1378</v>
      </c>
      <c r="I220" s="35" t="s">
        <v>1379</v>
      </c>
      <c r="J220" s="35" t="s">
        <v>1376</v>
      </c>
      <c r="K220" s="35" t="s">
        <v>69</v>
      </c>
      <c r="L220" s="35" t="s">
        <v>1380</v>
      </c>
      <c r="M220" s="35" t="s">
        <v>95</v>
      </c>
      <c r="O220" s="35" t="s">
        <v>86</v>
      </c>
    </row>
    <row r="221" spans="1:15" ht="150" hidden="1" x14ac:dyDescent="0.25">
      <c r="A221" s="35">
        <v>242</v>
      </c>
      <c r="B221" s="92">
        <v>5</v>
      </c>
      <c r="C221" s="92">
        <v>64</v>
      </c>
      <c r="D221" s="35" t="s">
        <v>3689</v>
      </c>
      <c r="E221" s="35" t="s">
        <v>1381</v>
      </c>
      <c r="F221" s="35" t="s">
        <v>1382</v>
      </c>
      <c r="G221" s="35" t="s">
        <v>223</v>
      </c>
      <c r="H221" s="35" t="s">
        <v>87</v>
      </c>
      <c r="I221" s="35" t="s">
        <v>173</v>
      </c>
      <c r="J221" s="35" t="s">
        <v>1382</v>
      </c>
      <c r="K221" s="35" t="s">
        <v>69</v>
      </c>
      <c r="L221" s="35" t="s">
        <v>1383</v>
      </c>
      <c r="M221" s="35" t="s">
        <v>95</v>
      </c>
      <c r="O221" s="35" t="s">
        <v>86</v>
      </c>
    </row>
    <row r="222" spans="1:15" ht="75" hidden="1" x14ac:dyDescent="0.25">
      <c r="A222" s="35">
        <v>243</v>
      </c>
      <c r="B222" s="92">
        <v>2</v>
      </c>
      <c r="C222" s="92">
        <v>63</v>
      </c>
      <c r="D222" s="35" t="s">
        <v>73</v>
      </c>
      <c r="E222" s="35" t="s">
        <v>1384</v>
      </c>
      <c r="F222" s="35" t="s">
        <v>1385</v>
      </c>
      <c r="G222" s="35" t="s">
        <v>1386</v>
      </c>
      <c r="H222" s="35" t="s">
        <v>1387</v>
      </c>
      <c r="I222" s="35" t="s">
        <v>1388</v>
      </c>
      <c r="J222" s="35" t="s">
        <v>1387</v>
      </c>
      <c r="K222" s="35" t="s">
        <v>82</v>
      </c>
      <c r="L222" s="35" t="s">
        <v>1389</v>
      </c>
      <c r="M222" s="35" t="s">
        <v>95</v>
      </c>
      <c r="O222" s="35" t="s">
        <v>74</v>
      </c>
    </row>
    <row r="223" spans="1:15" ht="105" hidden="1" x14ac:dyDescent="0.25">
      <c r="A223" s="35">
        <v>244</v>
      </c>
      <c r="B223" s="92">
        <v>2</v>
      </c>
      <c r="C223" s="92">
        <v>64</v>
      </c>
      <c r="D223" s="35" t="s">
        <v>73</v>
      </c>
      <c r="E223" s="35" t="s">
        <v>1390</v>
      </c>
      <c r="F223" s="35" t="s">
        <v>1391</v>
      </c>
      <c r="G223" s="35" t="s">
        <v>1392</v>
      </c>
      <c r="H223" s="35" t="s">
        <v>1393</v>
      </c>
      <c r="I223" s="35" t="s">
        <v>1394</v>
      </c>
      <c r="J223" s="35" t="s">
        <v>1392</v>
      </c>
      <c r="K223" s="35" t="s">
        <v>101</v>
      </c>
      <c r="L223" s="35" t="s">
        <v>1395</v>
      </c>
      <c r="M223" s="35" t="s">
        <v>95</v>
      </c>
      <c r="O223" s="35" t="s">
        <v>74</v>
      </c>
    </row>
    <row r="224" spans="1:15" ht="90" hidden="1" x14ac:dyDescent="0.25">
      <c r="A224" s="35">
        <v>245</v>
      </c>
      <c r="B224" s="92">
        <v>2</v>
      </c>
      <c r="C224" s="92">
        <v>65</v>
      </c>
      <c r="D224" s="35" t="s">
        <v>73</v>
      </c>
      <c r="E224" s="35" t="s">
        <v>1396</v>
      </c>
      <c r="F224" s="35" t="s">
        <v>1397</v>
      </c>
      <c r="G224" s="35" t="s">
        <v>1398</v>
      </c>
      <c r="H224" s="35" t="s">
        <v>1399</v>
      </c>
      <c r="I224" s="35" t="s">
        <v>1400</v>
      </c>
      <c r="J224" s="35" t="s">
        <v>1400</v>
      </c>
      <c r="K224" s="35" t="s">
        <v>114</v>
      </c>
      <c r="L224" s="35" t="s">
        <v>1401</v>
      </c>
      <c r="M224" s="35" t="s">
        <v>95</v>
      </c>
      <c r="O224" s="35" t="s">
        <v>122</v>
      </c>
    </row>
    <row r="225" spans="1:15" ht="75" hidden="1" x14ac:dyDescent="0.25">
      <c r="A225" s="35">
        <v>246</v>
      </c>
      <c r="B225" s="92">
        <v>3</v>
      </c>
      <c r="C225" s="92">
        <v>69</v>
      </c>
      <c r="D225" s="35" t="s">
        <v>73</v>
      </c>
      <c r="E225" s="35" t="s">
        <v>1402</v>
      </c>
      <c r="F225" s="35" t="s">
        <v>1403</v>
      </c>
      <c r="G225" s="35" t="s">
        <v>1404</v>
      </c>
      <c r="H225" s="35" t="s">
        <v>1405</v>
      </c>
      <c r="I225" s="35" t="s">
        <v>1406</v>
      </c>
      <c r="J225" s="35" t="s">
        <v>1404</v>
      </c>
      <c r="K225" s="35" t="s">
        <v>101</v>
      </c>
      <c r="L225" s="35" t="s">
        <v>1407</v>
      </c>
      <c r="M225" s="35" t="s">
        <v>536</v>
      </c>
      <c r="O225" s="35" t="s">
        <v>86</v>
      </c>
    </row>
    <row r="226" spans="1:15" ht="75" hidden="1" x14ac:dyDescent="0.25">
      <c r="A226" s="35">
        <v>247</v>
      </c>
      <c r="B226" s="92">
        <v>2</v>
      </c>
      <c r="C226" s="92">
        <v>66</v>
      </c>
      <c r="D226" s="35" t="s">
        <v>73</v>
      </c>
      <c r="E226" s="35" t="s">
        <v>1408</v>
      </c>
      <c r="F226" s="35" t="s">
        <v>1409</v>
      </c>
      <c r="G226" s="35" t="s">
        <v>1410</v>
      </c>
      <c r="H226" s="35" t="s">
        <v>1411</v>
      </c>
      <c r="I226" s="35" t="s">
        <v>1412</v>
      </c>
      <c r="J226" s="35" t="s">
        <v>1410</v>
      </c>
      <c r="K226" s="35" t="s">
        <v>101</v>
      </c>
      <c r="L226" s="35" t="s">
        <v>1413</v>
      </c>
      <c r="M226" s="35" t="s">
        <v>95</v>
      </c>
      <c r="O226" s="35" t="s">
        <v>86</v>
      </c>
    </row>
    <row r="227" spans="1:15" ht="135" hidden="1" x14ac:dyDescent="0.25">
      <c r="A227" s="35">
        <v>248</v>
      </c>
      <c r="B227" s="92">
        <v>2</v>
      </c>
      <c r="C227" s="92">
        <v>67</v>
      </c>
      <c r="D227" s="35" t="s">
        <v>73</v>
      </c>
      <c r="E227" s="35" t="s">
        <v>1414</v>
      </c>
      <c r="F227" s="35" t="s">
        <v>1415</v>
      </c>
      <c r="G227" s="35" t="s">
        <v>1416</v>
      </c>
      <c r="H227" s="35" t="s">
        <v>1417</v>
      </c>
      <c r="I227" s="35" t="s">
        <v>1418</v>
      </c>
      <c r="J227" s="35" t="s">
        <v>1415</v>
      </c>
      <c r="K227" s="35" t="s">
        <v>69</v>
      </c>
      <c r="L227" s="35" t="s">
        <v>1419</v>
      </c>
      <c r="M227" s="35" t="s">
        <v>95</v>
      </c>
      <c r="O227" s="35" t="s">
        <v>122</v>
      </c>
    </row>
    <row r="228" spans="1:15" ht="75" hidden="1" x14ac:dyDescent="0.25">
      <c r="A228" s="35">
        <v>249</v>
      </c>
      <c r="B228" s="92">
        <v>5</v>
      </c>
      <c r="C228" s="92">
        <v>65</v>
      </c>
      <c r="D228" s="35" t="s">
        <v>3689</v>
      </c>
      <c r="E228" s="35" t="s">
        <v>1420</v>
      </c>
      <c r="F228" s="35" t="s">
        <v>1421</v>
      </c>
      <c r="G228" s="35" t="s">
        <v>1422</v>
      </c>
      <c r="H228" s="35" t="s">
        <v>299</v>
      </c>
      <c r="I228" s="35" t="s">
        <v>1423</v>
      </c>
      <c r="J228" s="35" t="s">
        <v>1421</v>
      </c>
      <c r="K228" s="35" t="s">
        <v>69</v>
      </c>
      <c r="L228" s="35" t="s">
        <v>1424</v>
      </c>
      <c r="M228" s="35" t="s">
        <v>95</v>
      </c>
      <c r="O228" s="35" t="s">
        <v>86</v>
      </c>
    </row>
    <row r="229" spans="1:15" ht="105" hidden="1" x14ac:dyDescent="0.25">
      <c r="A229" s="35">
        <v>250</v>
      </c>
      <c r="B229" s="92">
        <v>2</v>
      </c>
      <c r="C229" s="92">
        <v>68</v>
      </c>
      <c r="D229" s="35" t="s">
        <v>73</v>
      </c>
      <c r="E229" s="35" t="s">
        <v>1425</v>
      </c>
      <c r="F229" s="35" t="s">
        <v>1353</v>
      </c>
      <c r="G229" s="35" t="s">
        <v>87</v>
      </c>
      <c r="H229" s="35" t="s">
        <v>1426</v>
      </c>
      <c r="I229" s="35" t="s">
        <v>1427</v>
      </c>
      <c r="J229" s="35" t="s">
        <v>1426</v>
      </c>
      <c r="K229" s="35" t="s">
        <v>82</v>
      </c>
      <c r="L229" s="35" t="s">
        <v>1428</v>
      </c>
      <c r="M229" s="35" t="s">
        <v>95</v>
      </c>
      <c r="O229" s="35" t="s">
        <v>86</v>
      </c>
    </row>
    <row r="230" spans="1:15" ht="105" hidden="1" x14ac:dyDescent="0.25">
      <c r="A230" s="35">
        <v>251</v>
      </c>
      <c r="B230" s="92">
        <v>5</v>
      </c>
      <c r="C230" s="92">
        <v>66</v>
      </c>
      <c r="D230" s="35" t="s">
        <v>3689</v>
      </c>
      <c r="E230" s="35" t="s">
        <v>1429</v>
      </c>
      <c r="F230" s="35" t="s">
        <v>1430</v>
      </c>
      <c r="G230" s="35" t="s">
        <v>1431</v>
      </c>
      <c r="H230" s="35" t="s">
        <v>1432</v>
      </c>
      <c r="I230" s="35" t="s">
        <v>1433</v>
      </c>
      <c r="J230" s="35" t="s">
        <v>1431</v>
      </c>
      <c r="K230" s="35" t="s">
        <v>101</v>
      </c>
      <c r="L230" s="35" t="s">
        <v>1434</v>
      </c>
      <c r="M230" s="35" t="s">
        <v>95</v>
      </c>
      <c r="O230" s="35" t="s">
        <v>86</v>
      </c>
    </row>
    <row r="231" spans="1:15" ht="105" hidden="1" x14ac:dyDescent="0.25">
      <c r="A231" s="35">
        <v>252</v>
      </c>
      <c r="B231" s="92">
        <v>3</v>
      </c>
      <c r="C231" s="92">
        <v>70</v>
      </c>
      <c r="D231" s="35" t="s">
        <v>73</v>
      </c>
      <c r="E231" s="35" t="s">
        <v>1435</v>
      </c>
      <c r="F231" s="35" t="s">
        <v>1436</v>
      </c>
      <c r="G231" s="35" t="s">
        <v>1437</v>
      </c>
      <c r="H231" s="35" t="s">
        <v>1438</v>
      </c>
      <c r="I231" s="35" t="s">
        <v>1439</v>
      </c>
      <c r="J231" s="35" t="s">
        <v>1437</v>
      </c>
      <c r="K231" s="35" t="s">
        <v>101</v>
      </c>
      <c r="L231" s="35" t="s">
        <v>1440</v>
      </c>
      <c r="M231" s="35" t="s">
        <v>536</v>
      </c>
      <c r="O231" s="35" t="s">
        <v>74</v>
      </c>
    </row>
    <row r="232" spans="1:15" ht="90" hidden="1" x14ac:dyDescent="0.25">
      <c r="A232" s="35">
        <v>253</v>
      </c>
      <c r="B232" s="92">
        <v>5</v>
      </c>
      <c r="C232" s="92">
        <v>67</v>
      </c>
      <c r="D232" s="35" t="s">
        <v>3689</v>
      </c>
      <c r="E232" s="35" t="s">
        <v>1441</v>
      </c>
      <c r="F232" s="35" t="s">
        <v>1442</v>
      </c>
      <c r="G232" s="35" t="s">
        <v>1443</v>
      </c>
      <c r="H232" s="35" t="s">
        <v>1444</v>
      </c>
      <c r="I232" s="35" t="s">
        <v>1445</v>
      </c>
      <c r="J232" s="35" t="s">
        <v>1443</v>
      </c>
      <c r="K232" s="35" t="s">
        <v>101</v>
      </c>
      <c r="L232" s="35" t="s">
        <v>1446</v>
      </c>
      <c r="M232" s="35" t="s">
        <v>72</v>
      </c>
      <c r="O232" s="35" t="s">
        <v>74</v>
      </c>
    </row>
    <row r="233" spans="1:15" ht="105" hidden="1" x14ac:dyDescent="0.25">
      <c r="A233" s="35">
        <v>254</v>
      </c>
      <c r="B233" s="92">
        <v>2</v>
      </c>
      <c r="C233" s="92">
        <v>69</v>
      </c>
      <c r="D233" s="35" t="s">
        <v>73</v>
      </c>
      <c r="E233" s="35" t="s">
        <v>1447</v>
      </c>
      <c r="F233" s="35" t="s">
        <v>1448</v>
      </c>
      <c r="G233" s="35" t="s">
        <v>1449</v>
      </c>
      <c r="H233" s="35" t="s">
        <v>1450</v>
      </c>
      <c r="I233" s="35" t="s">
        <v>1451</v>
      </c>
      <c r="J233" s="35" t="s">
        <v>1449</v>
      </c>
      <c r="K233" s="35" t="s">
        <v>101</v>
      </c>
      <c r="L233" s="35" t="s">
        <v>1452</v>
      </c>
      <c r="M233" s="35" t="s">
        <v>95</v>
      </c>
      <c r="O233" s="35" t="s">
        <v>86</v>
      </c>
    </row>
    <row r="234" spans="1:15" ht="165" hidden="1" x14ac:dyDescent="0.25">
      <c r="A234" s="35">
        <v>255</v>
      </c>
      <c r="B234" s="92">
        <v>3</v>
      </c>
      <c r="C234" s="92">
        <v>71</v>
      </c>
      <c r="D234" s="35" t="s">
        <v>73</v>
      </c>
      <c r="E234" s="35" t="s">
        <v>1453</v>
      </c>
      <c r="F234" s="35" t="s">
        <v>1454</v>
      </c>
      <c r="G234" s="35" t="s">
        <v>1455</v>
      </c>
      <c r="H234" s="35" t="s">
        <v>1456</v>
      </c>
      <c r="I234" s="35" t="s">
        <v>1457</v>
      </c>
      <c r="J234" s="35" t="s">
        <v>1455</v>
      </c>
      <c r="K234" s="35" t="s">
        <v>101</v>
      </c>
      <c r="L234" s="35" t="s">
        <v>1458</v>
      </c>
      <c r="M234" s="35" t="s">
        <v>536</v>
      </c>
      <c r="O234" s="35" t="s">
        <v>122</v>
      </c>
    </row>
    <row r="235" spans="1:15" ht="45" hidden="1" x14ac:dyDescent="0.25">
      <c r="A235" s="35">
        <v>256</v>
      </c>
      <c r="B235" s="92">
        <v>3</v>
      </c>
      <c r="C235" s="92">
        <v>72</v>
      </c>
      <c r="D235" s="35" t="s">
        <v>73</v>
      </c>
      <c r="E235" s="35" t="s">
        <v>1459</v>
      </c>
      <c r="F235" s="35" t="s">
        <v>1032</v>
      </c>
      <c r="G235" s="35" t="s">
        <v>356</v>
      </c>
      <c r="H235" s="35" t="s">
        <v>1460</v>
      </c>
      <c r="I235" s="35" t="s">
        <v>1461</v>
      </c>
      <c r="J235" s="35" t="s">
        <v>1461</v>
      </c>
      <c r="K235" s="35" t="s">
        <v>114</v>
      </c>
      <c r="L235" s="35" t="s">
        <v>1462</v>
      </c>
      <c r="M235" s="35" t="s">
        <v>536</v>
      </c>
      <c r="O235" s="35" t="s">
        <v>74</v>
      </c>
    </row>
    <row r="236" spans="1:15" ht="90" hidden="1" x14ac:dyDescent="0.25">
      <c r="A236" s="35">
        <v>257</v>
      </c>
      <c r="B236" s="92">
        <v>5</v>
      </c>
      <c r="C236" s="92">
        <v>68</v>
      </c>
      <c r="D236" s="35" t="s">
        <v>3689</v>
      </c>
      <c r="E236" s="35" t="s">
        <v>1463</v>
      </c>
      <c r="F236" s="35" t="s">
        <v>1464</v>
      </c>
      <c r="G236" s="35" t="s">
        <v>759</v>
      </c>
      <c r="H236" s="35" t="s">
        <v>1465</v>
      </c>
      <c r="I236" s="35" t="s">
        <v>1466</v>
      </c>
      <c r="J236" s="35" t="s">
        <v>1464</v>
      </c>
      <c r="K236" s="35" t="s">
        <v>69</v>
      </c>
      <c r="L236" s="35" t="s">
        <v>1467</v>
      </c>
      <c r="M236" s="35" t="s">
        <v>536</v>
      </c>
      <c r="O236" s="35" t="s">
        <v>74</v>
      </c>
    </row>
    <row r="237" spans="1:15" ht="195" hidden="1" x14ac:dyDescent="0.25">
      <c r="A237" s="35">
        <v>258</v>
      </c>
      <c r="B237" s="92">
        <v>5</v>
      </c>
      <c r="C237" s="92">
        <v>69</v>
      </c>
      <c r="D237" s="35" t="s">
        <v>3689</v>
      </c>
      <c r="E237" s="35" t="s">
        <v>1468</v>
      </c>
      <c r="F237" s="35" t="s">
        <v>1469</v>
      </c>
      <c r="G237" s="35" t="s">
        <v>1470</v>
      </c>
      <c r="H237" s="35" t="s">
        <v>1438</v>
      </c>
      <c r="I237" s="35" t="s">
        <v>1471</v>
      </c>
      <c r="J237" s="35" t="s">
        <v>1438</v>
      </c>
      <c r="K237" s="35" t="s">
        <v>82</v>
      </c>
      <c r="L237" s="35" t="s">
        <v>1472</v>
      </c>
      <c r="M237" s="35" t="s">
        <v>536</v>
      </c>
      <c r="O237" s="35" t="s">
        <v>74</v>
      </c>
    </row>
    <row r="238" spans="1:15" ht="150" x14ac:dyDescent="0.25">
      <c r="A238" s="35">
        <v>259</v>
      </c>
      <c r="B238" s="92">
        <v>1</v>
      </c>
      <c r="C238" s="92">
        <v>25</v>
      </c>
      <c r="D238" s="35" t="s">
        <v>73</v>
      </c>
      <c r="E238" s="35" t="s">
        <v>1473</v>
      </c>
      <c r="F238" s="35" t="s">
        <v>1474</v>
      </c>
      <c r="G238" s="35" t="s">
        <v>1475</v>
      </c>
      <c r="H238" s="35" t="s">
        <v>1476</v>
      </c>
      <c r="I238" s="35" t="s">
        <v>1477</v>
      </c>
      <c r="J238" s="35" t="s">
        <v>1474</v>
      </c>
      <c r="K238" s="35" t="s">
        <v>69</v>
      </c>
      <c r="L238" s="35" t="s">
        <v>1478</v>
      </c>
      <c r="M238" s="35" t="s">
        <v>72</v>
      </c>
      <c r="O238" s="35" t="s">
        <v>74</v>
      </c>
    </row>
    <row r="239" spans="1:15" ht="150" hidden="1" x14ac:dyDescent="0.25">
      <c r="A239" s="35">
        <v>260</v>
      </c>
      <c r="B239" s="92">
        <v>2</v>
      </c>
      <c r="C239" s="92">
        <v>70</v>
      </c>
      <c r="D239" s="35" t="s">
        <v>73</v>
      </c>
      <c r="E239" s="35" t="s">
        <v>1479</v>
      </c>
      <c r="F239" s="35" t="s">
        <v>1480</v>
      </c>
      <c r="G239" s="35" t="s">
        <v>1481</v>
      </c>
      <c r="H239" s="35" t="s">
        <v>1482</v>
      </c>
      <c r="I239" s="35" t="s">
        <v>1483</v>
      </c>
      <c r="J239" s="35" t="s">
        <v>1482</v>
      </c>
      <c r="K239" s="35" t="s">
        <v>82</v>
      </c>
      <c r="L239" s="35" t="s">
        <v>1484</v>
      </c>
      <c r="M239" s="35" t="s">
        <v>95</v>
      </c>
      <c r="O239" s="35" t="s">
        <v>74</v>
      </c>
    </row>
    <row r="240" spans="1:15" ht="90" hidden="1" x14ac:dyDescent="0.25">
      <c r="A240" s="35">
        <v>261</v>
      </c>
      <c r="B240" s="92">
        <v>2</v>
      </c>
      <c r="C240" s="92">
        <v>71</v>
      </c>
      <c r="D240" s="35" t="s">
        <v>73</v>
      </c>
      <c r="E240" s="35" t="s">
        <v>1485</v>
      </c>
      <c r="F240" s="35" t="s">
        <v>1486</v>
      </c>
      <c r="G240" s="35" t="s">
        <v>1487</v>
      </c>
      <c r="H240" s="35" t="s">
        <v>1488</v>
      </c>
      <c r="I240" s="35" t="s">
        <v>1489</v>
      </c>
      <c r="J240" s="35" t="s">
        <v>1489</v>
      </c>
      <c r="K240" s="35" t="s">
        <v>114</v>
      </c>
      <c r="L240" s="35" t="s">
        <v>1490</v>
      </c>
      <c r="M240" s="35" t="s">
        <v>95</v>
      </c>
      <c r="O240" s="35" t="s">
        <v>122</v>
      </c>
    </row>
    <row r="241" spans="1:15" ht="90" hidden="1" x14ac:dyDescent="0.25">
      <c r="A241" s="35">
        <v>262</v>
      </c>
      <c r="B241" s="92">
        <v>3</v>
      </c>
      <c r="C241" s="92">
        <v>73</v>
      </c>
      <c r="D241" s="35" t="s">
        <v>73</v>
      </c>
      <c r="E241" s="35" t="s">
        <v>1491</v>
      </c>
      <c r="F241" s="35" t="s">
        <v>1492</v>
      </c>
      <c r="G241" s="35" t="s">
        <v>1493</v>
      </c>
      <c r="H241" s="35" t="s">
        <v>1494</v>
      </c>
      <c r="I241" s="35" t="s">
        <v>1495</v>
      </c>
      <c r="J241" s="35" t="s">
        <v>1493</v>
      </c>
      <c r="K241" s="35" t="s">
        <v>101</v>
      </c>
      <c r="L241" s="35" t="s">
        <v>1496</v>
      </c>
      <c r="M241" s="35" t="s">
        <v>536</v>
      </c>
      <c r="O241" s="35" t="s">
        <v>74</v>
      </c>
    </row>
    <row r="242" spans="1:15" ht="105" hidden="1" x14ac:dyDescent="0.25">
      <c r="A242" s="35">
        <v>263</v>
      </c>
      <c r="B242" s="92">
        <v>3</v>
      </c>
      <c r="C242" s="92">
        <v>74</v>
      </c>
      <c r="D242" s="35" t="s">
        <v>73</v>
      </c>
      <c r="E242" s="35" t="s">
        <v>1497</v>
      </c>
      <c r="F242" s="35" t="s">
        <v>1498</v>
      </c>
      <c r="G242" s="35" t="s">
        <v>1499</v>
      </c>
      <c r="H242" s="35" t="s">
        <v>1500</v>
      </c>
      <c r="I242" s="35" t="s">
        <v>1501</v>
      </c>
      <c r="J242" s="35" t="s">
        <v>1499</v>
      </c>
      <c r="K242" s="35" t="s">
        <v>101</v>
      </c>
      <c r="L242" s="35" t="s">
        <v>1502</v>
      </c>
      <c r="M242" s="35" t="s">
        <v>536</v>
      </c>
      <c r="O242" s="35" t="s">
        <v>74</v>
      </c>
    </row>
    <row r="243" spans="1:15" ht="135" hidden="1" x14ac:dyDescent="0.25">
      <c r="A243" s="35">
        <v>264</v>
      </c>
      <c r="B243" s="92">
        <v>5</v>
      </c>
      <c r="C243" s="92">
        <v>70</v>
      </c>
      <c r="D243" s="35" t="s">
        <v>3689</v>
      </c>
      <c r="E243" s="35" t="s">
        <v>1503</v>
      </c>
      <c r="F243" s="35" t="s">
        <v>1504</v>
      </c>
      <c r="G243" s="35" t="s">
        <v>1505</v>
      </c>
      <c r="H243" s="35" t="s">
        <v>1506</v>
      </c>
      <c r="I243" s="35" t="s">
        <v>1507</v>
      </c>
      <c r="J243" s="35" t="s">
        <v>1506</v>
      </c>
      <c r="K243" s="35" t="s">
        <v>82</v>
      </c>
      <c r="L243" s="35" t="s">
        <v>1508</v>
      </c>
      <c r="M243" s="35" t="s">
        <v>536</v>
      </c>
      <c r="O243" s="35" t="s">
        <v>74</v>
      </c>
    </row>
    <row r="244" spans="1:15" ht="180" hidden="1" x14ac:dyDescent="0.25">
      <c r="A244" s="35">
        <v>265</v>
      </c>
      <c r="B244" s="92">
        <v>2</v>
      </c>
      <c r="C244" s="92">
        <v>72</v>
      </c>
      <c r="D244" s="35" t="s">
        <v>73</v>
      </c>
      <c r="E244" s="35" t="s">
        <v>1509</v>
      </c>
      <c r="F244" s="35" t="s">
        <v>1510</v>
      </c>
      <c r="G244" s="35" t="s">
        <v>1511</v>
      </c>
      <c r="H244" s="35" t="s">
        <v>1512</v>
      </c>
      <c r="I244" s="35" t="s">
        <v>869</v>
      </c>
      <c r="J244" s="35" t="s">
        <v>1511</v>
      </c>
      <c r="K244" s="35" t="s">
        <v>101</v>
      </c>
      <c r="L244" s="35" t="s">
        <v>1513</v>
      </c>
      <c r="M244" s="35" t="s">
        <v>95</v>
      </c>
      <c r="O244" s="35" t="s">
        <v>122</v>
      </c>
    </row>
    <row r="245" spans="1:15" ht="300" hidden="1" x14ac:dyDescent="0.25">
      <c r="A245" s="35">
        <v>266</v>
      </c>
      <c r="B245" s="92">
        <v>2</v>
      </c>
      <c r="C245" s="92">
        <v>73</v>
      </c>
      <c r="D245" s="35" t="s">
        <v>73</v>
      </c>
      <c r="E245" s="35" t="s">
        <v>1514</v>
      </c>
      <c r="F245" s="35" t="s">
        <v>1515</v>
      </c>
      <c r="G245" s="35" t="s">
        <v>1516</v>
      </c>
      <c r="H245" s="35" t="s">
        <v>1517</v>
      </c>
      <c r="I245" s="35" t="s">
        <v>1518</v>
      </c>
      <c r="J245" s="35" t="s">
        <v>1518</v>
      </c>
      <c r="K245" s="35" t="s">
        <v>114</v>
      </c>
      <c r="L245" s="35" t="s">
        <v>1519</v>
      </c>
      <c r="M245" s="35" t="s">
        <v>95</v>
      </c>
      <c r="O245" s="35" t="s">
        <v>122</v>
      </c>
    </row>
    <row r="246" spans="1:15" ht="165" hidden="1" x14ac:dyDescent="0.25">
      <c r="A246" s="35">
        <v>267</v>
      </c>
      <c r="B246" s="92">
        <v>5</v>
      </c>
      <c r="C246" s="92">
        <v>71</v>
      </c>
      <c r="D246" s="35" t="s">
        <v>3689</v>
      </c>
      <c r="E246" s="35" t="s">
        <v>1520</v>
      </c>
      <c r="F246" s="35" t="s">
        <v>1521</v>
      </c>
      <c r="G246" s="35" t="s">
        <v>1522</v>
      </c>
      <c r="H246" s="35" t="s">
        <v>1517</v>
      </c>
      <c r="I246" s="35" t="s">
        <v>1515</v>
      </c>
      <c r="J246" s="35" t="s">
        <v>1522</v>
      </c>
      <c r="K246" s="35" t="s">
        <v>101</v>
      </c>
      <c r="L246" s="35" t="s">
        <v>1523</v>
      </c>
      <c r="M246" s="35" t="s">
        <v>95</v>
      </c>
      <c r="O246" s="35" t="s">
        <v>122</v>
      </c>
    </row>
    <row r="247" spans="1:15" ht="165" hidden="1" x14ac:dyDescent="0.25">
      <c r="A247" s="35">
        <v>268</v>
      </c>
      <c r="B247" s="92">
        <v>2</v>
      </c>
      <c r="C247" s="92">
        <v>74</v>
      </c>
      <c r="D247" s="35" t="s">
        <v>73</v>
      </c>
      <c r="E247" s="35" t="s">
        <v>1524</v>
      </c>
      <c r="F247" s="35" t="s">
        <v>1525</v>
      </c>
      <c r="G247" s="35" t="s">
        <v>1526</v>
      </c>
      <c r="H247" s="35" t="s">
        <v>1527</v>
      </c>
      <c r="I247" s="35" t="s">
        <v>1528</v>
      </c>
      <c r="J247" s="35" t="s">
        <v>1525</v>
      </c>
      <c r="K247" s="35" t="s">
        <v>69</v>
      </c>
      <c r="L247" s="35" t="s">
        <v>1529</v>
      </c>
      <c r="M247" s="35" t="s">
        <v>95</v>
      </c>
      <c r="O247" s="35" t="s">
        <v>122</v>
      </c>
    </row>
    <row r="248" spans="1:15" ht="60" hidden="1" x14ac:dyDescent="0.25">
      <c r="A248" s="35">
        <v>269</v>
      </c>
      <c r="B248" s="92">
        <v>5</v>
      </c>
      <c r="C248" s="92">
        <v>72</v>
      </c>
      <c r="D248" s="35" t="s">
        <v>3689</v>
      </c>
      <c r="E248" s="35" t="s">
        <v>1530</v>
      </c>
      <c r="F248" s="35" t="s">
        <v>1531</v>
      </c>
      <c r="G248" s="35" t="s">
        <v>1532</v>
      </c>
      <c r="H248" s="35" t="s">
        <v>1533</v>
      </c>
      <c r="I248" s="35" t="s">
        <v>1534</v>
      </c>
      <c r="J248" s="35" t="s">
        <v>1534</v>
      </c>
      <c r="K248" s="35" t="s">
        <v>114</v>
      </c>
      <c r="L248" s="35" t="s">
        <v>1535</v>
      </c>
      <c r="M248" s="35" t="s">
        <v>95</v>
      </c>
      <c r="O248" s="35" t="s">
        <v>122</v>
      </c>
    </row>
    <row r="249" spans="1:15" ht="45" hidden="1" x14ac:dyDescent="0.25">
      <c r="A249" s="35">
        <v>270</v>
      </c>
      <c r="B249" s="92">
        <v>2</v>
      </c>
      <c r="C249" s="92">
        <v>75</v>
      </c>
      <c r="D249" s="35" t="s">
        <v>73</v>
      </c>
      <c r="E249" s="35" t="s">
        <v>1536</v>
      </c>
      <c r="F249" s="35" t="s">
        <v>1537</v>
      </c>
      <c r="G249" s="35" t="s">
        <v>1538</v>
      </c>
      <c r="H249" s="35" t="s">
        <v>1539</v>
      </c>
      <c r="I249" s="35" t="s">
        <v>1540</v>
      </c>
      <c r="J249" s="35" t="s">
        <v>1538</v>
      </c>
      <c r="K249" s="35" t="s">
        <v>101</v>
      </c>
      <c r="L249" s="35" t="s">
        <v>1541</v>
      </c>
      <c r="M249" s="35" t="s">
        <v>95</v>
      </c>
      <c r="O249" s="35" t="s">
        <v>86</v>
      </c>
    </row>
    <row r="250" spans="1:15" ht="150" hidden="1" x14ac:dyDescent="0.25">
      <c r="A250" s="35">
        <v>271</v>
      </c>
      <c r="B250" s="92">
        <v>5</v>
      </c>
      <c r="C250" s="92">
        <v>73</v>
      </c>
      <c r="D250" s="35" t="s">
        <v>3689</v>
      </c>
      <c r="E250" s="35" t="s">
        <v>1542</v>
      </c>
      <c r="F250" s="35" t="s">
        <v>1543</v>
      </c>
      <c r="G250" s="35" t="s">
        <v>1544</v>
      </c>
      <c r="H250" s="35" t="s">
        <v>1545</v>
      </c>
      <c r="I250" s="35" t="s">
        <v>1546</v>
      </c>
      <c r="J250" s="35" t="s">
        <v>1543</v>
      </c>
      <c r="K250" s="35" t="s">
        <v>69</v>
      </c>
      <c r="L250" s="35" t="s">
        <v>1547</v>
      </c>
      <c r="M250" s="35" t="s">
        <v>536</v>
      </c>
      <c r="O250" s="35" t="s">
        <v>86</v>
      </c>
    </row>
    <row r="251" spans="1:15" ht="120" hidden="1" x14ac:dyDescent="0.25">
      <c r="A251" s="35">
        <v>272</v>
      </c>
      <c r="B251" s="92">
        <v>5</v>
      </c>
      <c r="C251" s="92">
        <v>74</v>
      </c>
      <c r="D251" s="35" t="s">
        <v>3689</v>
      </c>
      <c r="E251" s="35" t="s">
        <v>1548</v>
      </c>
      <c r="F251" s="35" t="s">
        <v>1549</v>
      </c>
      <c r="G251" s="35" t="s">
        <v>1550</v>
      </c>
      <c r="H251" s="35" t="s">
        <v>1551</v>
      </c>
      <c r="I251" s="35" t="s">
        <v>1552</v>
      </c>
      <c r="J251" s="35" t="s">
        <v>1551</v>
      </c>
      <c r="K251" s="35" t="s">
        <v>82</v>
      </c>
      <c r="L251" s="35" t="s">
        <v>1553</v>
      </c>
      <c r="M251" s="35" t="s">
        <v>536</v>
      </c>
      <c r="O251" s="35" t="s">
        <v>122</v>
      </c>
    </row>
    <row r="252" spans="1:15" ht="105" hidden="1" x14ac:dyDescent="0.25">
      <c r="A252" s="35">
        <v>273</v>
      </c>
      <c r="B252" s="92">
        <v>3</v>
      </c>
      <c r="C252" s="92">
        <v>75</v>
      </c>
      <c r="D252" s="35" t="s">
        <v>73</v>
      </c>
      <c r="E252" s="35" t="s">
        <v>1554</v>
      </c>
      <c r="F252" s="35" t="s">
        <v>1555</v>
      </c>
      <c r="G252" s="35" t="s">
        <v>692</v>
      </c>
      <c r="H252" s="35" t="s">
        <v>1556</v>
      </c>
      <c r="I252" s="35" t="s">
        <v>1557</v>
      </c>
      <c r="J252" s="35" t="s">
        <v>692</v>
      </c>
      <c r="K252" s="35" t="s">
        <v>101</v>
      </c>
      <c r="L252" s="35" t="s">
        <v>1558</v>
      </c>
      <c r="M252" s="35" t="s">
        <v>536</v>
      </c>
      <c r="O252" s="35" t="s">
        <v>86</v>
      </c>
    </row>
    <row r="253" spans="1:15" ht="60" hidden="1" x14ac:dyDescent="0.25">
      <c r="A253" s="35">
        <v>274</v>
      </c>
      <c r="B253" s="92">
        <v>3</v>
      </c>
      <c r="C253" s="92">
        <v>76</v>
      </c>
      <c r="D253" s="35" t="s">
        <v>73</v>
      </c>
      <c r="E253" s="35" t="s">
        <v>1559</v>
      </c>
      <c r="F253" s="35" t="s">
        <v>1560</v>
      </c>
      <c r="G253" s="35" t="s">
        <v>1561</v>
      </c>
      <c r="H253" s="35" t="s">
        <v>1562</v>
      </c>
      <c r="I253" s="35" t="s">
        <v>1563</v>
      </c>
      <c r="J253" s="35" t="s">
        <v>1562</v>
      </c>
      <c r="K253" s="35" t="s">
        <v>82</v>
      </c>
      <c r="L253" s="35" t="s">
        <v>1564</v>
      </c>
      <c r="M253" s="35" t="s">
        <v>536</v>
      </c>
      <c r="O253" s="35" t="s">
        <v>74</v>
      </c>
    </row>
    <row r="254" spans="1:15" ht="45" hidden="1" x14ac:dyDescent="0.25">
      <c r="A254" s="35">
        <v>276</v>
      </c>
      <c r="B254" s="92">
        <v>2</v>
      </c>
      <c r="C254" s="92">
        <v>76</v>
      </c>
      <c r="D254" s="35" t="s">
        <v>73</v>
      </c>
      <c r="E254" s="35" t="s">
        <v>1565</v>
      </c>
      <c r="F254" s="35" t="s">
        <v>1566</v>
      </c>
      <c r="G254" s="35" t="s">
        <v>1567</v>
      </c>
      <c r="H254" s="35" t="s">
        <v>1568</v>
      </c>
      <c r="I254" s="35" t="s">
        <v>1569</v>
      </c>
      <c r="J254" s="35" t="s">
        <v>1566</v>
      </c>
      <c r="K254" s="35" t="s">
        <v>69</v>
      </c>
      <c r="L254" s="35" t="s">
        <v>1570</v>
      </c>
      <c r="M254" s="35" t="s">
        <v>95</v>
      </c>
      <c r="O254" s="35" t="s">
        <v>74</v>
      </c>
    </row>
    <row r="255" spans="1:15" ht="120" hidden="1" x14ac:dyDescent="0.25">
      <c r="A255" s="35">
        <v>277</v>
      </c>
      <c r="B255" s="92">
        <v>3</v>
      </c>
      <c r="C255" s="92">
        <v>77</v>
      </c>
      <c r="D255" s="35" t="s">
        <v>73</v>
      </c>
      <c r="E255" s="35" t="s">
        <v>1571</v>
      </c>
      <c r="F255" s="35" t="s">
        <v>1572</v>
      </c>
      <c r="G255" s="35" t="s">
        <v>1398</v>
      </c>
      <c r="H255" s="35" t="s">
        <v>1399</v>
      </c>
      <c r="I255" s="35" t="s">
        <v>1573</v>
      </c>
      <c r="J255" s="35" t="s">
        <v>1398</v>
      </c>
      <c r="K255" s="35" t="s">
        <v>101</v>
      </c>
      <c r="L255" s="35" t="s">
        <v>1574</v>
      </c>
      <c r="M255" s="35" t="s">
        <v>536</v>
      </c>
      <c r="O255" s="35" t="s">
        <v>122</v>
      </c>
    </row>
    <row r="256" spans="1:15" ht="120" hidden="1" x14ac:dyDescent="0.25">
      <c r="A256" s="35">
        <v>278</v>
      </c>
      <c r="B256" s="92">
        <v>3</v>
      </c>
      <c r="C256" s="92">
        <v>78</v>
      </c>
      <c r="D256" s="35" t="s">
        <v>73</v>
      </c>
      <c r="E256" s="35" t="s">
        <v>1575</v>
      </c>
      <c r="F256" s="35" t="s">
        <v>1576</v>
      </c>
      <c r="G256" s="35" t="s">
        <v>1577</v>
      </c>
      <c r="H256" s="35" t="s">
        <v>1578</v>
      </c>
      <c r="I256" s="35" t="s">
        <v>1579</v>
      </c>
      <c r="J256" s="35" t="s">
        <v>1576</v>
      </c>
      <c r="K256" s="35" t="s">
        <v>69</v>
      </c>
      <c r="L256" s="35" t="s">
        <v>1580</v>
      </c>
      <c r="M256" s="35" t="s">
        <v>536</v>
      </c>
      <c r="O256" s="35" t="s">
        <v>122</v>
      </c>
    </row>
    <row r="257" spans="1:15" ht="105" hidden="1" x14ac:dyDescent="0.25">
      <c r="A257" s="35">
        <v>279</v>
      </c>
      <c r="B257" s="92">
        <v>2</v>
      </c>
      <c r="C257" s="92">
        <v>77</v>
      </c>
      <c r="D257" s="35" t="s">
        <v>73</v>
      </c>
      <c r="E257" s="35" t="s">
        <v>1582</v>
      </c>
      <c r="F257" s="35" t="s">
        <v>1583</v>
      </c>
      <c r="G257" s="35" t="s">
        <v>1584</v>
      </c>
      <c r="H257" s="35" t="s">
        <v>1585</v>
      </c>
      <c r="I257" s="35" t="s">
        <v>1586</v>
      </c>
      <c r="J257" s="35" t="s">
        <v>1586</v>
      </c>
      <c r="K257" s="35" t="s">
        <v>114</v>
      </c>
      <c r="L257" s="35" t="s">
        <v>1587</v>
      </c>
      <c r="M257" s="35" t="s">
        <v>95</v>
      </c>
      <c r="N257" s="35" t="s">
        <v>1588</v>
      </c>
      <c r="O257" s="35" t="s">
        <v>122</v>
      </c>
    </row>
    <row r="258" spans="1:15" ht="150" x14ac:dyDescent="0.25">
      <c r="A258" s="35">
        <v>280</v>
      </c>
      <c r="B258" s="92">
        <v>1</v>
      </c>
      <c r="C258" s="92">
        <v>26</v>
      </c>
      <c r="D258" s="35" t="s">
        <v>73</v>
      </c>
      <c r="E258" s="35" t="s">
        <v>1589</v>
      </c>
      <c r="F258" s="35" t="s">
        <v>1590</v>
      </c>
      <c r="G258" s="35" t="s">
        <v>1591</v>
      </c>
      <c r="H258" s="35" t="s">
        <v>1592</v>
      </c>
      <c r="I258" s="35" t="s">
        <v>1593</v>
      </c>
      <c r="J258" s="35" t="s">
        <v>1590</v>
      </c>
      <c r="K258" s="35" t="s">
        <v>69</v>
      </c>
      <c r="L258" s="35" t="s">
        <v>1594</v>
      </c>
      <c r="M258" s="35" t="s">
        <v>72</v>
      </c>
      <c r="O258" s="35" t="s">
        <v>122</v>
      </c>
    </row>
    <row r="259" spans="1:15" ht="90" hidden="1" x14ac:dyDescent="0.25">
      <c r="A259" s="35">
        <v>281</v>
      </c>
      <c r="B259" s="92">
        <v>3</v>
      </c>
      <c r="C259" s="92">
        <v>79</v>
      </c>
      <c r="D259" s="35" t="s">
        <v>73</v>
      </c>
      <c r="E259" s="35" t="s">
        <v>1595</v>
      </c>
      <c r="F259" s="35" t="s">
        <v>1556</v>
      </c>
      <c r="G259" s="35" t="s">
        <v>1596</v>
      </c>
      <c r="H259" s="35" t="s">
        <v>1597</v>
      </c>
      <c r="I259" s="35" t="s">
        <v>1598</v>
      </c>
      <c r="J259" s="35" t="s">
        <v>1598</v>
      </c>
      <c r="K259" s="35" t="s">
        <v>114</v>
      </c>
      <c r="L259" s="35" t="s">
        <v>1599</v>
      </c>
      <c r="M259" s="35" t="s">
        <v>536</v>
      </c>
      <c r="O259" s="35" t="s">
        <v>86</v>
      </c>
    </row>
    <row r="260" spans="1:15" ht="105" hidden="1" x14ac:dyDescent="0.25">
      <c r="A260" s="35">
        <v>282</v>
      </c>
      <c r="B260" s="92">
        <v>5</v>
      </c>
      <c r="C260" s="92">
        <v>75</v>
      </c>
      <c r="D260" s="35" t="s">
        <v>3689</v>
      </c>
      <c r="E260" s="35" t="s">
        <v>1600</v>
      </c>
      <c r="F260" s="35" t="s">
        <v>1601</v>
      </c>
      <c r="G260" s="35" t="s">
        <v>1602</v>
      </c>
      <c r="H260" s="35" t="s">
        <v>1603</v>
      </c>
      <c r="I260" s="35" t="s">
        <v>1604</v>
      </c>
      <c r="J260" s="35" t="s">
        <v>1602</v>
      </c>
      <c r="K260" s="35" t="s">
        <v>101</v>
      </c>
      <c r="L260" s="35" t="s">
        <v>1605</v>
      </c>
      <c r="M260" s="35" t="s">
        <v>72</v>
      </c>
      <c r="O260" s="35" t="s">
        <v>122</v>
      </c>
    </row>
    <row r="261" spans="1:15" ht="105" hidden="1" x14ac:dyDescent="0.25">
      <c r="A261" s="35">
        <v>283</v>
      </c>
      <c r="B261" s="92">
        <v>3</v>
      </c>
      <c r="C261" s="92">
        <v>80</v>
      </c>
      <c r="D261" s="35" t="s">
        <v>73</v>
      </c>
      <c r="E261" s="35" t="s">
        <v>1606</v>
      </c>
      <c r="F261" s="35" t="s">
        <v>1607</v>
      </c>
      <c r="G261" s="35" t="s">
        <v>1608</v>
      </c>
      <c r="H261" s="35" t="s">
        <v>1609</v>
      </c>
      <c r="I261" s="35" t="s">
        <v>1610</v>
      </c>
      <c r="J261" s="35" t="s">
        <v>1607</v>
      </c>
      <c r="K261" s="35" t="s">
        <v>69</v>
      </c>
      <c r="L261" s="35" t="s">
        <v>1611</v>
      </c>
      <c r="M261" s="35" t="s">
        <v>536</v>
      </c>
      <c r="O261" s="35" t="s">
        <v>122</v>
      </c>
    </row>
    <row r="262" spans="1:15" ht="105" hidden="1" x14ac:dyDescent="0.25">
      <c r="A262" s="35">
        <v>284</v>
      </c>
      <c r="B262" s="92">
        <v>2</v>
      </c>
      <c r="C262" s="92">
        <v>78</v>
      </c>
      <c r="D262" s="35" t="s">
        <v>73</v>
      </c>
      <c r="E262" s="35" t="s">
        <v>1612</v>
      </c>
      <c r="F262" s="35" t="s">
        <v>1613</v>
      </c>
      <c r="G262" s="35" t="s">
        <v>1614</v>
      </c>
      <c r="H262" s="35" t="s">
        <v>1615</v>
      </c>
      <c r="I262" s="35" t="s">
        <v>1616</v>
      </c>
      <c r="J262" s="35" t="s">
        <v>1616</v>
      </c>
      <c r="K262" s="35" t="s">
        <v>114</v>
      </c>
      <c r="L262" s="35" t="s">
        <v>1617</v>
      </c>
      <c r="M262" s="35" t="s">
        <v>95</v>
      </c>
      <c r="O262" s="35" t="s">
        <v>86</v>
      </c>
    </row>
    <row r="263" spans="1:15" ht="120" hidden="1" x14ac:dyDescent="0.25">
      <c r="A263" s="35">
        <v>285</v>
      </c>
      <c r="B263" s="92">
        <v>5</v>
      </c>
      <c r="C263" s="92">
        <v>76</v>
      </c>
      <c r="D263" s="35" t="s">
        <v>3689</v>
      </c>
      <c r="E263" s="35" t="s">
        <v>1618</v>
      </c>
      <c r="F263" s="35" t="s">
        <v>1619</v>
      </c>
      <c r="G263" s="35" t="s">
        <v>1620</v>
      </c>
      <c r="H263" s="35" t="s">
        <v>1621</v>
      </c>
      <c r="I263" s="35" t="s">
        <v>1622</v>
      </c>
      <c r="J263" s="35" t="s">
        <v>1621</v>
      </c>
      <c r="K263" s="35" t="s">
        <v>82</v>
      </c>
      <c r="L263" s="35" t="s">
        <v>1623</v>
      </c>
      <c r="M263" s="35" t="s">
        <v>72</v>
      </c>
      <c r="O263" s="35" t="s">
        <v>86</v>
      </c>
    </row>
    <row r="264" spans="1:15" ht="75" hidden="1" x14ac:dyDescent="0.25">
      <c r="A264" s="35">
        <v>286</v>
      </c>
      <c r="B264" s="92">
        <v>3</v>
      </c>
      <c r="C264" s="92">
        <v>81</v>
      </c>
      <c r="D264" s="35" t="s">
        <v>73</v>
      </c>
      <c r="E264" s="35" t="s">
        <v>1625</v>
      </c>
      <c r="F264" s="35" t="s">
        <v>1626</v>
      </c>
      <c r="G264" s="35" t="s">
        <v>1627</v>
      </c>
      <c r="H264" s="35" t="s">
        <v>1628</v>
      </c>
      <c r="I264" s="35" t="s">
        <v>1629</v>
      </c>
      <c r="J264" s="35" t="s">
        <v>1627</v>
      </c>
      <c r="K264" s="35" t="s">
        <v>101</v>
      </c>
      <c r="L264" s="35" t="s">
        <v>1630</v>
      </c>
      <c r="M264" s="35" t="s">
        <v>536</v>
      </c>
      <c r="O264" s="35" t="s">
        <v>74</v>
      </c>
    </row>
    <row r="265" spans="1:15" ht="60" hidden="1" x14ac:dyDescent="0.25">
      <c r="A265" s="35">
        <v>287</v>
      </c>
      <c r="B265" s="92">
        <v>5</v>
      </c>
      <c r="C265" s="92">
        <v>77</v>
      </c>
      <c r="D265" s="35" t="s">
        <v>3689</v>
      </c>
      <c r="E265" s="35" t="s">
        <v>1631</v>
      </c>
      <c r="F265" s="35" t="s">
        <v>1632</v>
      </c>
      <c r="G265" s="35" t="s">
        <v>1633</v>
      </c>
      <c r="H265" s="35" t="s">
        <v>1634</v>
      </c>
      <c r="I265" s="35" t="s">
        <v>1635</v>
      </c>
      <c r="J265" s="35" t="s">
        <v>1632</v>
      </c>
      <c r="K265" s="35" t="s">
        <v>69</v>
      </c>
      <c r="L265" s="35" t="s">
        <v>1636</v>
      </c>
      <c r="M265" s="35" t="s">
        <v>95</v>
      </c>
      <c r="O265" s="35" t="s">
        <v>74</v>
      </c>
    </row>
    <row r="266" spans="1:15" ht="105" hidden="1" x14ac:dyDescent="0.25">
      <c r="A266" s="35">
        <v>288</v>
      </c>
      <c r="B266" s="92">
        <v>5</v>
      </c>
      <c r="C266" s="92">
        <v>78</v>
      </c>
      <c r="D266" s="35" t="s">
        <v>3689</v>
      </c>
      <c r="E266" s="35" t="s">
        <v>1637</v>
      </c>
      <c r="F266" s="35" t="s">
        <v>1638</v>
      </c>
      <c r="G266" s="35" t="s">
        <v>1639</v>
      </c>
      <c r="H266" s="35" t="s">
        <v>692</v>
      </c>
      <c r="I266" s="35" t="s">
        <v>1640</v>
      </c>
      <c r="J266" s="35" t="s">
        <v>1639</v>
      </c>
      <c r="K266" s="35" t="s">
        <v>101</v>
      </c>
      <c r="L266" s="35" t="s">
        <v>1641</v>
      </c>
      <c r="M266" s="35" t="s">
        <v>536</v>
      </c>
      <c r="O266" s="35" t="s">
        <v>122</v>
      </c>
    </row>
    <row r="267" spans="1:15" ht="150" x14ac:dyDescent="0.25">
      <c r="A267" s="35">
        <v>289</v>
      </c>
      <c r="B267" s="92">
        <v>1</v>
      </c>
      <c r="C267" s="92">
        <v>27</v>
      </c>
      <c r="D267" s="35" t="s">
        <v>73</v>
      </c>
      <c r="E267" s="35" t="s">
        <v>1642</v>
      </c>
      <c r="F267" s="35" t="s">
        <v>1643</v>
      </c>
      <c r="G267" s="35" t="s">
        <v>1644</v>
      </c>
      <c r="H267" s="35" t="s">
        <v>1645</v>
      </c>
      <c r="I267" s="35" t="s">
        <v>1646</v>
      </c>
      <c r="J267" s="35" t="s">
        <v>1644</v>
      </c>
      <c r="K267" s="35" t="s">
        <v>101</v>
      </c>
      <c r="L267" s="35" t="s">
        <v>1647</v>
      </c>
      <c r="M267" s="35" t="s">
        <v>72</v>
      </c>
      <c r="O267" s="35" t="s">
        <v>86</v>
      </c>
    </row>
    <row r="268" spans="1:15" ht="105" hidden="1" x14ac:dyDescent="0.25">
      <c r="A268" s="35">
        <v>290</v>
      </c>
      <c r="B268" s="92">
        <v>3</v>
      </c>
      <c r="C268" s="92">
        <v>82</v>
      </c>
      <c r="D268" s="35" t="s">
        <v>73</v>
      </c>
      <c r="E268" s="35" t="s">
        <v>1648</v>
      </c>
      <c r="F268" s="35" t="s">
        <v>1649</v>
      </c>
      <c r="G268" s="35" t="s">
        <v>1650</v>
      </c>
      <c r="H268" s="35" t="s">
        <v>1651</v>
      </c>
      <c r="I268" s="35" t="s">
        <v>1652</v>
      </c>
      <c r="J268" s="35" t="s">
        <v>1651</v>
      </c>
      <c r="K268" s="35" t="s">
        <v>82</v>
      </c>
      <c r="L268" s="35" t="s">
        <v>1653</v>
      </c>
      <c r="M268" s="35" t="s">
        <v>536</v>
      </c>
      <c r="O268" s="35" t="s">
        <v>122</v>
      </c>
    </row>
    <row r="269" spans="1:15" ht="60" x14ac:dyDescent="0.25">
      <c r="A269" s="35">
        <v>291</v>
      </c>
      <c r="B269" s="92">
        <v>1</v>
      </c>
      <c r="C269" s="92">
        <v>28</v>
      </c>
      <c r="D269" s="35" t="s">
        <v>73</v>
      </c>
      <c r="E269" s="35" t="s">
        <v>1655</v>
      </c>
      <c r="F269" s="35" t="s">
        <v>1656</v>
      </c>
      <c r="G269" s="35" t="s">
        <v>1657</v>
      </c>
      <c r="H269" s="35" t="s">
        <v>1658</v>
      </c>
      <c r="I269" s="35" t="s">
        <v>1659</v>
      </c>
      <c r="J269" s="35" t="s">
        <v>1656</v>
      </c>
      <c r="K269" s="35" t="s">
        <v>69</v>
      </c>
      <c r="L269" s="35" t="s">
        <v>1660</v>
      </c>
      <c r="M269" s="35" t="s">
        <v>72</v>
      </c>
      <c r="O269" s="35" t="s">
        <v>74</v>
      </c>
    </row>
    <row r="270" spans="1:15" ht="75" hidden="1" x14ac:dyDescent="0.25">
      <c r="A270" s="35">
        <v>292</v>
      </c>
      <c r="B270" s="92">
        <v>5</v>
      </c>
      <c r="C270" s="92">
        <v>79</v>
      </c>
      <c r="D270" s="35" t="s">
        <v>3689</v>
      </c>
      <c r="E270" s="35" t="s">
        <v>1661</v>
      </c>
      <c r="F270" s="35" t="s">
        <v>1662</v>
      </c>
      <c r="G270" s="35" t="s">
        <v>1663</v>
      </c>
      <c r="H270" s="35" t="s">
        <v>1664</v>
      </c>
      <c r="I270" s="35" t="s">
        <v>1665</v>
      </c>
      <c r="J270" s="35" t="s">
        <v>1662</v>
      </c>
      <c r="K270" s="35" t="s">
        <v>69</v>
      </c>
      <c r="L270" s="35" t="s">
        <v>1666</v>
      </c>
      <c r="M270" s="35" t="s">
        <v>536</v>
      </c>
      <c r="O270" s="35" t="s">
        <v>86</v>
      </c>
    </row>
    <row r="271" spans="1:15" ht="60" hidden="1" x14ac:dyDescent="0.25">
      <c r="A271" s="35">
        <v>293</v>
      </c>
      <c r="B271" s="92">
        <v>2</v>
      </c>
      <c r="C271" s="92">
        <v>79</v>
      </c>
      <c r="D271" s="35" t="s">
        <v>73</v>
      </c>
      <c r="E271" s="35" t="s">
        <v>1667</v>
      </c>
      <c r="F271" s="35" t="s">
        <v>1668</v>
      </c>
      <c r="G271" s="35" t="s">
        <v>1669</v>
      </c>
      <c r="H271" s="35" t="s">
        <v>1670</v>
      </c>
      <c r="I271" s="35" t="s">
        <v>1671</v>
      </c>
      <c r="J271" s="35" t="s">
        <v>1668</v>
      </c>
      <c r="K271" s="35" t="s">
        <v>69</v>
      </c>
      <c r="L271" s="35" t="s">
        <v>1672</v>
      </c>
      <c r="M271" s="35" t="s">
        <v>95</v>
      </c>
      <c r="O271" s="35" t="s">
        <v>122</v>
      </c>
    </row>
    <row r="272" spans="1:15" ht="90" hidden="1" x14ac:dyDescent="0.25">
      <c r="A272" s="35">
        <v>294</v>
      </c>
      <c r="B272" s="92">
        <v>5</v>
      </c>
      <c r="C272" s="92">
        <v>80</v>
      </c>
      <c r="D272" s="35" t="s">
        <v>3689</v>
      </c>
      <c r="E272" s="35" t="s">
        <v>1673</v>
      </c>
      <c r="F272" s="35" t="s">
        <v>1674</v>
      </c>
      <c r="G272" s="35" t="s">
        <v>1675</v>
      </c>
      <c r="H272" s="35" t="s">
        <v>1676</v>
      </c>
      <c r="I272" s="35" t="s">
        <v>1677</v>
      </c>
      <c r="J272" s="35" t="s">
        <v>1675</v>
      </c>
      <c r="K272" s="35" t="s">
        <v>101</v>
      </c>
      <c r="L272" s="35" t="s">
        <v>1678</v>
      </c>
      <c r="M272" s="35" t="s">
        <v>72</v>
      </c>
      <c r="O272" s="35" t="s">
        <v>86</v>
      </c>
    </row>
    <row r="273" spans="1:15" ht="105" hidden="1" x14ac:dyDescent="0.25">
      <c r="A273" s="35">
        <v>295</v>
      </c>
      <c r="B273" s="92">
        <v>2</v>
      </c>
      <c r="C273" s="92">
        <v>80</v>
      </c>
      <c r="D273" s="35" t="s">
        <v>73</v>
      </c>
      <c r="E273" s="35" t="s">
        <v>1679</v>
      </c>
      <c r="F273" s="35" t="s">
        <v>137</v>
      </c>
      <c r="G273" s="35" t="s">
        <v>1680</v>
      </c>
      <c r="H273" s="35" t="s">
        <v>1681</v>
      </c>
      <c r="I273" s="35" t="s">
        <v>1682</v>
      </c>
      <c r="J273" s="35" t="s">
        <v>1682</v>
      </c>
      <c r="K273" s="35" t="s">
        <v>114</v>
      </c>
      <c r="L273" s="35" t="s">
        <v>1683</v>
      </c>
      <c r="M273" s="35" t="s">
        <v>95</v>
      </c>
      <c r="O273" s="35" t="s">
        <v>74</v>
      </c>
    </row>
    <row r="274" spans="1:15" ht="150" hidden="1" x14ac:dyDescent="0.25">
      <c r="A274" s="35">
        <v>296</v>
      </c>
      <c r="B274" s="92">
        <v>3</v>
      </c>
      <c r="C274" s="92">
        <v>83</v>
      </c>
      <c r="D274" s="35" t="s">
        <v>73</v>
      </c>
      <c r="E274" s="35" t="s">
        <v>1684</v>
      </c>
      <c r="F274" s="35" t="s">
        <v>1685</v>
      </c>
      <c r="G274" s="35" t="s">
        <v>1686</v>
      </c>
      <c r="H274" s="35" t="s">
        <v>1687</v>
      </c>
      <c r="I274" s="35" t="s">
        <v>1688</v>
      </c>
      <c r="J274" s="35" t="s">
        <v>1687</v>
      </c>
      <c r="K274" s="35" t="s">
        <v>82</v>
      </c>
      <c r="L274" s="35" t="s">
        <v>1689</v>
      </c>
      <c r="M274" s="35" t="s">
        <v>536</v>
      </c>
      <c r="O274" s="35" t="s">
        <v>86</v>
      </c>
    </row>
    <row r="275" spans="1:15" ht="75" x14ac:dyDescent="0.25">
      <c r="A275" s="35">
        <v>297</v>
      </c>
      <c r="B275" s="92">
        <v>1</v>
      </c>
      <c r="C275" s="92">
        <v>29</v>
      </c>
      <c r="D275" s="35" t="s">
        <v>73</v>
      </c>
      <c r="E275" s="35" t="s">
        <v>1690</v>
      </c>
      <c r="F275" s="35" t="s">
        <v>1691</v>
      </c>
      <c r="G275" s="35" t="s">
        <v>1692</v>
      </c>
      <c r="H275" s="35" t="s">
        <v>1693</v>
      </c>
      <c r="I275" s="35" t="s">
        <v>1694</v>
      </c>
      <c r="J275" s="35" t="s">
        <v>1694</v>
      </c>
      <c r="K275" s="35" t="s">
        <v>114</v>
      </c>
      <c r="L275" s="35" t="s">
        <v>1695</v>
      </c>
      <c r="M275" s="35" t="s">
        <v>72</v>
      </c>
      <c r="O275" s="35" t="s">
        <v>74</v>
      </c>
    </row>
    <row r="276" spans="1:15" ht="60" x14ac:dyDescent="0.25">
      <c r="A276" s="35">
        <v>298</v>
      </c>
      <c r="B276" s="92">
        <v>1</v>
      </c>
      <c r="C276" s="92">
        <v>30</v>
      </c>
      <c r="D276" s="35" t="s">
        <v>73</v>
      </c>
      <c r="E276" s="35" t="s">
        <v>1696</v>
      </c>
      <c r="F276" s="35" t="s">
        <v>1697</v>
      </c>
      <c r="G276" s="35" t="s">
        <v>1698</v>
      </c>
      <c r="H276" s="35" t="s">
        <v>1699</v>
      </c>
      <c r="I276" s="35" t="s">
        <v>1700</v>
      </c>
      <c r="J276" s="35" t="s">
        <v>1698</v>
      </c>
      <c r="K276" s="35" t="s">
        <v>101</v>
      </c>
      <c r="L276" s="35" t="s">
        <v>1701</v>
      </c>
      <c r="M276" s="35" t="s">
        <v>72</v>
      </c>
      <c r="O276" s="35" t="s">
        <v>86</v>
      </c>
    </row>
    <row r="277" spans="1:15" ht="105" hidden="1" x14ac:dyDescent="0.25">
      <c r="A277" s="35">
        <v>299</v>
      </c>
      <c r="B277" s="92">
        <v>3</v>
      </c>
      <c r="C277" s="92">
        <v>84</v>
      </c>
      <c r="D277" s="35" t="s">
        <v>73</v>
      </c>
      <c r="E277" s="35" t="s">
        <v>1702</v>
      </c>
      <c r="F277" s="35" t="s">
        <v>1703</v>
      </c>
      <c r="G277" s="35" t="s">
        <v>1704</v>
      </c>
      <c r="H277" s="35" t="s">
        <v>1705</v>
      </c>
      <c r="I277" s="35" t="s">
        <v>1706</v>
      </c>
      <c r="J277" s="35" t="s">
        <v>1704</v>
      </c>
      <c r="K277" s="35" t="s">
        <v>101</v>
      </c>
      <c r="L277" s="35" t="s">
        <v>1707</v>
      </c>
      <c r="M277" s="35" t="s">
        <v>536</v>
      </c>
      <c r="O277" s="35" t="s">
        <v>86</v>
      </c>
    </row>
    <row r="278" spans="1:15" ht="90" hidden="1" x14ac:dyDescent="0.25">
      <c r="A278" s="35">
        <v>300</v>
      </c>
      <c r="B278" s="92">
        <v>5</v>
      </c>
      <c r="C278" s="92">
        <v>81</v>
      </c>
      <c r="D278" s="35" t="s">
        <v>3689</v>
      </c>
      <c r="E278" s="35" t="s">
        <v>1708</v>
      </c>
      <c r="F278" s="35" t="s">
        <v>1709</v>
      </c>
      <c r="G278" s="35" t="s">
        <v>1710</v>
      </c>
      <c r="H278" s="35" t="s">
        <v>1711</v>
      </c>
      <c r="I278" s="35" t="s">
        <v>475</v>
      </c>
      <c r="J278" s="35" t="s">
        <v>1712</v>
      </c>
      <c r="K278" s="35" t="s">
        <v>82</v>
      </c>
      <c r="L278" s="35" t="s">
        <v>1713</v>
      </c>
      <c r="M278" s="35" t="s">
        <v>95</v>
      </c>
      <c r="O278" s="35" t="s">
        <v>86</v>
      </c>
    </row>
    <row r="279" spans="1:15" ht="75" hidden="1" x14ac:dyDescent="0.25">
      <c r="A279" s="35">
        <v>301</v>
      </c>
      <c r="B279" s="92">
        <v>5</v>
      </c>
      <c r="C279" s="92">
        <v>82</v>
      </c>
      <c r="D279" s="35" t="s">
        <v>3689</v>
      </c>
      <c r="E279" s="35" t="s">
        <v>1714</v>
      </c>
      <c r="F279" s="35" t="s">
        <v>1715</v>
      </c>
      <c r="G279" s="35" t="s">
        <v>1716</v>
      </c>
      <c r="H279" s="35" t="s">
        <v>1717</v>
      </c>
      <c r="I279" s="35" t="s">
        <v>1718</v>
      </c>
      <c r="J279" s="35" t="s">
        <v>1716</v>
      </c>
      <c r="K279" s="35" t="s">
        <v>101</v>
      </c>
      <c r="L279" s="35" t="s">
        <v>1719</v>
      </c>
      <c r="M279" s="35" t="s">
        <v>536</v>
      </c>
      <c r="O279" s="35" t="s">
        <v>86</v>
      </c>
    </row>
    <row r="280" spans="1:15" ht="105" hidden="1" x14ac:dyDescent="0.25">
      <c r="A280" s="35">
        <v>302</v>
      </c>
      <c r="B280" s="92">
        <v>3</v>
      </c>
      <c r="C280" s="92">
        <v>85</v>
      </c>
      <c r="D280" s="35" t="s">
        <v>73</v>
      </c>
      <c r="E280" s="35" t="s">
        <v>1720</v>
      </c>
      <c r="F280" s="35" t="s">
        <v>1721</v>
      </c>
      <c r="G280" s="35" t="s">
        <v>1722</v>
      </c>
      <c r="H280" s="35" t="s">
        <v>1723</v>
      </c>
      <c r="I280" s="35" t="s">
        <v>1724</v>
      </c>
      <c r="J280" s="35" t="s">
        <v>1722</v>
      </c>
      <c r="K280" s="35" t="s">
        <v>101</v>
      </c>
      <c r="L280" s="35" t="s">
        <v>1725</v>
      </c>
      <c r="M280" s="35" t="s">
        <v>536</v>
      </c>
      <c r="O280" s="35" t="s">
        <v>86</v>
      </c>
    </row>
    <row r="281" spans="1:15" ht="105" hidden="1" x14ac:dyDescent="0.25">
      <c r="A281" s="35">
        <v>303</v>
      </c>
      <c r="B281" s="92">
        <v>5</v>
      </c>
      <c r="C281" s="92">
        <v>83</v>
      </c>
      <c r="D281" s="35" t="s">
        <v>3689</v>
      </c>
      <c r="E281" s="35" t="s">
        <v>1726</v>
      </c>
      <c r="F281" s="35" t="s">
        <v>1727</v>
      </c>
      <c r="G281" s="35" t="s">
        <v>1728</v>
      </c>
      <c r="H281" s="35" t="s">
        <v>1729</v>
      </c>
      <c r="I281" s="35" t="s">
        <v>1730</v>
      </c>
      <c r="J281" s="35" t="s">
        <v>1730</v>
      </c>
      <c r="K281" s="35" t="s">
        <v>114</v>
      </c>
      <c r="L281" s="35" t="s">
        <v>1731</v>
      </c>
      <c r="M281" s="35" t="s">
        <v>72</v>
      </c>
      <c r="O281" s="35" t="s">
        <v>86</v>
      </c>
    </row>
    <row r="282" spans="1:15" ht="75" hidden="1" x14ac:dyDescent="0.25">
      <c r="A282" s="35">
        <v>304</v>
      </c>
      <c r="B282" s="92">
        <v>3</v>
      </c>
      <c r="C282" s="92">
        <v>86</v>
      </c>
      <c r="D282" s="35" t="s">
        <v>73</v>
      </c>
      <c r="E282" s="35" t="s">
        <v>1732</v>
      </c>
      <c r="F282" s="35" t="s">
        <v>1733</v>
      </c>
      <c r="G282" s="35" t="s">
        <v>1734</v>
      </c>
      <c r="H282" s="35" t="s">
        <v>1735</v>
      </c>
      <c r="I282" s="35" t="s">
        <v>1736</v>
      </c>
      <c r="J282" s="35" t="s">
        <v>1735</v>
      </c>
      <c r="K282" s="35" t="s">
        <v>82</v>
      </c>
      <c r="L282" s="35" t="s">
        <v>1737</v>
      </c>
      <c r="M282" s="35" t="s">
        <v>536</v>
      </c>
      <c r="O282" s="35" t="s">
        <v>86</v>
      </c>
    </row>
    <row r="283" spans="1:15" ht="30" x14ac:dyDescent="0.25">
      <c r="A283" s="35">
        <v>305</v>
      </c>
      <c r="B283" s="92">
        <v>1</v>
      </c>
      <c r="C283" s="92">
        <v>31</v>
      </c>
      <c r="D283" s="35" t="s">
        <v>73</v>
      </c>
      <c r="E283" s="35" t="s">
        <v>1738</v>
      </c>
      <c r="F283" s="35" t="s">
        <v>1739</v>
      </c>
      <c r="G283" s="35" t="s">
        <v>1740</v>
      </c>
      <c r="H283" s="35" t="s">
        <v>1741</v>
      </c>
      <c r="I283" s="35" t="s">
        <v>1742</v>
      </c>
      <c r="J283" s="35" t="s">
        <v>1739</v>
      </c>
      <c r="K283" s="35" t="s">
        <v>69</v>
      </c>
      <c r="L283" s="35" t="s">
        <v>1743</v>
      </c>
      <c r="M283" s="35" t="s">
        <v>72</v>
      </c>
      <c r="O283" s="35" t="s">
        <v>74</v>
      </c>
    </row>
    <row r="284" spans="1:15" ht="255" hidden="1" x14ac:dyDescent="0.25">
      <c r="A284" s="35">
        <v>306</v>
      </c>
      <c r="B284" s="92">
        <v>5</v>
      </c>
      <c r="C284" s="92">
        <v>84</v>
      </c>
      <c r="D284" s="35" t="s">
        <v>3689</v>
      </c>
      <c r="E284" s="35" t="s">
        <v>3683</v>
      </c>
      <c r="F284" s="35" t="s">
        <v>1745</v>
      </c>
      <c r="G284" s="35" t="s">
        <v>1746</v>
      </c>
      <c r="H284" s="35" t="s">
        <v>544</v>
      </c>
      <c r="I284" s="35" t="s">
        <v>545</v>
      </c>
      <c r="J284" s="35" t="s">
        <v>1746</v>
      </c>
      <c r="K284" s="35" t="s">
        <v>101</v>
      </c>
      <c r="L284" s="35" t="s">
        <v>1747</v>
      </c>
      <c r="M284" s="35" t="s">
        <v>536</v>
      </c>
      <c r="O284" s="35" t="s">
        <v>86</v>
      </c>
    </row>
    <row r="285" spans="1:15" s="96" customFormat="1" ht="60" hidden="1" x14ac:dyDescent="0.25">
      <c r="A285" s="96">
        <v>307</v>
      </c>
      <c r="B285" s="97" t="s">
        <v>3682</v>
      </c>
      <c r="C285" s="97" t="s">
        <v>3686</v>
      </c>
      <c r="D285" s="96" t="s">
        <v>73</v>
      </c>
      <c r="E285" s="96" t="s">
        <v>1748</v>
      </c>
      <c r="F285" s="96" t="s">
        <v>1749</v>
      </c>
      <c r="G285" s="96" t="s">
        <v>1750</v>
      </c>
      <c r="H285" s="96" t="s">
        <v>1751</v>
      </c>
      <c r="I285" s="96" t="s">
        <v>1752</v>
      </c>
      <c r="J285" s="96" t="s">
        <v>1749</v>
      </c>
      <c r="K285" s="96" t="s">
        <v>69</v>
      </c>
      <c r="L285" s="96" t="s">
        <v>1753</v>
      </c>
      <c r="M285" s="96" t="s">
        <v>95</v>
      </c>
      <c r="O285" s="96" t="s">
        <v>86</v>
      </c>
    </row>
    <row r="286" spans="1:15" ht="120" hidden="1" x14ac:dyDescent="0.25">
      <c r="A286" s="35">
        <v>308</v>
      </c>
      <c r="B286" s="92">
        <v>2</v>
      </c>
      <c r="C286" s="92">
        <v>82</v>
      </c>
      <c r="D286" s="35" t="s">
        <v>73</v>
      </c>
      <c r="E286" s="35" t="s">
        <v>1754</v>
      </c>
      <c r="F286" s="35" t="s">
        <v>1755</v>
      </c>
      <c r="G286" s="35" t="s">
        <v>1756</v>
      </c>
      <c r="H286" s="35" t="s">
        <v>1757</v>
      </c>
      <c r="I286" s="35" t="s">
        <v>1758</v>
      </c>
      <c r="J286" s="35" t="s">
        <v>1758</v>
      </c>
      <c r="K286" s="35" t="s">
        <v>114</v>
      </c>
      <c r="L286" s="35" t="s">
        <v>1759</v>
      </c>
      <c r="M286" s="35" t="s">
        <v>95</v>
      </c>
      <c r="O286" s="35" t="s">
        <v>74</v>
      </c>
    </row>
    <row r="287" spans="1:15" ht="75" hidden="1" x14ac:dyDescent="0.25">
      <c r="A287" s="35">
        <v>309</v>
      </c>
      <c r="B287" s="92">
        <v>2</v>
      </c>
      <c r="C287" s="92">
        <v>83</v>
      </c>
      <c r="D287" s="35" t="s">
        <v>73</v>
      </c>
      <c r="E287" s="35" t="s">
        <v>1760</v>
      </c>
      <c r="F287" s="35" t="s">
        <v>1761</v>
      </c>
      <c r="G287" s="35" t="s">
        <v>1762</v>
      </c>
      <c r="H287" s="35" t="s">
        <v>1763</v>
      </c>
      <c r="I287" s="35" t="s">
        <v>1764</v>
      </c>
      <c r="J287" s="35" t="s">
        <v>1764</v>
      </c>
      <c r="K287" s="35" t="s">
        <v>114</v>
      </c>
      <c r="L287" s="35" t="s">
        <v>1765</v>
      </c>
      <c r="M287" s="35" t="s">
        <v>95</v>
      </c>
      <c r="O287" s="35" t="s">
        <v>86</v>
      </c>
    </row>
    <row r="288" spans="1:15" ht="105" hidden="1" x14ac:dyDescent="0.25">
      <c r="A288" s="35">
        <v>310</v>
      </c>
      <c r="B288" s="92">
        <v>3</v>
      </c>
      <c r="C288" s="92">
        <v>87</v>
      </c>
      <c r="D288" s="35" t="s">
        <v>73</v>
      </c>
      <c r="E288" s="35" t="s">
        <v>1766</v>
      </c>
      <c r="F288" s="35" t="s">
        <v>1767</v>
      </c>
      <c r="G288" s="35" t="s">
        <v>1768</v>
      </c>
      <c r="H288" s="35" t="s">
        <v>1769</v>
      </c>
      <c r="I288" s="35" t="s">
        <v>1770</v>
      </c>
      <c r="J288" s="35" t="s">
        <v>1767</v>
      </c>
      <c r="K288" s="35" t="s">
        <v>69</v>
      </c>
      <c r="L288" s="35" t="s">
        <v>1771</v>
      </c>
      <c r="M288" s="35" t="s">
        <v>536</v>
      </c>
      <c r="O288" s="35" t="s">
        <v>122</v>
      </c>
    </row>
    <row r="289" spans="1:15" ht="60" hidden="1" x14ac:dyDescent="0.25">
      <c r="A289" s="35">
        <v>311</v>
      </c>
      <c r="B289" s="92">
        <v>2</v>
      </c>
      <c r="C289" s="92">
        <v>84</v>
      </c>
      <c r="D289" s="35" t="s">
        <v>73</v>
      </c>
      <c r="E289" s="35" t="s">
        <v>1772</v>
      </c>
      <c r="F289" s="35" t="s">
        <v>1773</v>
      </c>
      <c r="G289" s="35" t="s">
        <v>1774</v>
      </c>
      <c r="H289" s="35" t="s">
        <v>1775</v>
      </c>
      <c r="I289" s="35" t="s">
        <v>1776</v>
      </c>
      <c r="J289" s="35" t="s">
        <v>1775</v>
      </c>
      <c r="K289" s="35" t="s">
        <v>82</v>
      </c>
      <c r="L289" s="35" t="s">
        <v>1777</v>
      </c>
      <c r="M289" s="35" t="s">
        <v>95</v>
      </c>
      <c r="O289" s="35" t="s">
        <v>122</v>
      </c>
    </row>
    <row r="290" spans="1:15" ht="120" hidden="1" x14ac:dyDescent="0.25">
      <c r="A290" s="35">
        <v>312</v>
      </c>
      <c r="B290" s="92">
        <v>3</v>
      </c>
      <c r="C290" s="92">
        <v>88</v>
      </c>
      <c r="D290" s="35" t="s">
        <v>73</v>
      </c>
      <c r="E290" s="35" t="s">
        <v>1778</v>
      </c>
      <c r="F290" s="35" t="s">
        <v>1779</v>
      </c>
      <c r="G290" s="35" t="s">
        <v>1780</v>
      </c>
      <c r="H290" s="35" t="s">
        <v>1781</v>
      </c>
      <c r="I290" s="35" t="s">
        <v>1782</v>
      </c>
      <c r="J290" s="35" t="s">
        <v>1779</v>
      </c>
      <c r="K290" s="35" t="s">
        <v>69</v>
      </c>
      <c r="L290" s="35" t="s">
        <v>1783</v>
      </c>
      <c r="M290" s="35" t="s">
        <v>536</v>
      </c>
      <c r="O290" s="35" t="s">
        <v>86</v>
      </c>
    </row>
    <row r="291" spans="1:15" ht="120" hidden="1" x14ac:dyDescent="0.25">
      <c r="A291" s="35">
        <v>313</v>
      </c>
      <c r="B291" s="92">
        <v>5</v>
      </c>
      <c r="C291" s="92">
        <v>85</v>
      </c>
      <c r="D291" s="35" t="s">
        <v>3689</v>
      </c>
      <c r="E291" s="35" t="s">
        <v>1784</v>
      </c>
      <c r="F291" s="35" t="s">
        <v>1785</v>
      </c>
      <c r="G291" s="35" t="s">
        <v>1786</v>
      </c>
      <c r="H291" s="35" t="s">
        <v>1610</v>
      </c>
      <c r="I291" s="35" t="s">
        <v>1787</v>
      </c>
      <c r="J291" s="35" t="s">
        <v>1786</v>
      </c>
      <c r="K291" s="35" t="s">
        <v>101</v>
      </c>
      <c r="L291" s="35" t="s">
        <v>1788</v>
      </c>
      <c r="M291" s="35" t="s">
        <v>536</v>
      </c>
      <c r="O291" s="35" t="s">
        <v>122</v>
      </c>
    </row>
    <row r="292" spans="1:15" ht="105" hidden="1" x14ac:dyDescent="0.25">
      <c r="A292" s="35">
        <v>314</v>
      </c>
      <c r="B292" s="92">
        <v>5</v>
      </c>
      <c r="C292" s="92">
        <v>86</v>
      </c>
      <c r="D292" s="35" t="s">
        <v>3689</v>
      </c>
      <c r="E292" s="35" t="s">
        <v>1789</v>
      </c>
      <c r="F292" s="35" t="s">
        <v>1790</v>
      </c>
      <c r="G292" s="35" t="s">
        <v>1791</v>
      </c>
      <c r="H292" s="35" t="s">
        <v>1792</v>
      </c>
      <c r="I292" s="35" t="s">
        <v>1793</v>
      </c>
      <c r="J292" s="35" t="s">
        <v>1790</v>
      </c>
      <c r="K292" s="35" t="s">
        <v>69</v>
      </c>
      <c r="L292" s="35" t="s">
        <v>1794</v>
      </c>
      <c r="M292" s="35" t="s">
        <v>95</v>
      </c>
      <c r="O292" s="35" t="s">
        <v>122</v>
      </c>
    </row>
    <row r="293" spans="1:15" ht="75" hidden="1" x14ac:dyDescent="0.25">
      <c r="A293" s="35">
        <v>315</v>
      </c>
      <c r="B293" s="92">
        <v>3</v>
      </c>
      <c r="C293" s="92">
        <v>89</v>
      </c>
      <c r="D293" s="35" t="s">
        <v>73</v>
      </c>
      <c r="E293" s="35" t="s">
        <v>1795</v>
      </c>
      <c r="F293" s="35" t="s">
        <v>1796</v>
      </c>
      <c r="G293" s="35" t="s">
        <v>1797</v>
      </c>
      <c r="H293" s="35" t="s">
        <v>1798</v>
      </c>
      <c r="I293" s="35" t="s">
        <v>1799</v>
      </c>
      <c r="J293" s="35" t="s">
        <v>1797</v>
      </c>
      <c r="K293" s="35" t="s">
        <v>101</v>
      </c>
      <c r="L293" s="35" t="s">
        <v>1800</v>
      </c>
      <c r="M293" s="35" t="s">
        <v>536</v>
      </c>
      <c r="O293" s="35" t="s">
        <v>86</v>
      </c>
    </row>
    <row r="294" spans="1:15" ht="90" x14ac:dyDescent="0.25">
      <c r="A294" s="35">
        <v>316</v>
      </c>
      <c r="B294" s="92">
        <v>1</v>
      </c>
      <c r="C294" s="92">
        <v>32</v>
      </c>
      <c r="D294" s="35" t="s">
        <v>73</v>
      </c>
      <c r="E294" s="35" t="s">
        <v>1801</v>
      </c>
      <c r="F294" s="35" t="s">
        <v>1802</v>
      </c>
      <c r="G294" s="35" t="s">
        <v>1803</v>
      </c>
      <c r="H294" s="35" t="s">
        <v>1804</v>
      </c>
      <c r="I294" s="35" t="s">
        <v>1805</v>
      </c>
      <c r="J294" s="35" t="s">
        <v>1803</v>
      </c>
      <c r="K294" s="35" t="s">
        <v>101</v>
      </c>
      <c r="L294" s="35" t="s">
        <v>1806</v>
      </c>
      <c r="M294" s="35" t="s">
        <v>72</v>
      </c>
      <c r="O294" s="35" t="s">
        <v>74</v>
      </c>
    </row>
    <row r="295" spans="1:15" ht="90" hidden="1" x14ac:dyDescent="0.25">
      <c r="A295" s="35">
        <v>317</v>
      </c>
      <c r="B295" s="92">
        <v>2</v>
      </c>
      <c r="C295" s="92">
        <v>85</v>
      </c>
      <c r="D295" s="35" t="s">
        <v>73</v>
      </c>
      <c r="E295" s="35" t="s">
        <v>1807</v>
      </c>
      <c r="F295" s="35" t="s">
        <v>1808</v>
      </c>
      <c r="G295" s="35" t="s">
        <v>1809</v>
      </c>
      <c r="H295" s="35" t="s">
        <v>1810</v>
      </c>
      <c r="I295" s="35" t="s">
        <v>1811</v>
      </c>
      <c r="J295" s="35" t="s">
        <v>1809</v>
      </c>
      <c r="K295" s="35" t="s">
        <v>101</v>
      </c>
      <c r="L295" s="35" t="s">
        <v>1812</v>
      </c>
      <c r="M295" s="35" t="s">
        <v>95</v>
      </c>
      <c r="O295" s="35" t="s">
        <v>74</v>
      </c>
    </row>
    <row r="296" spans="1:15" ht="105" x14ac:dyDescent="0.25">
      <c r="A296" s="35">
        <v>318</v>
      </c>
      <c r="B296" s="92">
        <v>1</v>
      </c>
      <c r="C296" s="92">
        <v>33</v>
      </c>
      <c r="D296" s="35" t="s">
        <v>73</v>
      </c>
      <c r="E296" s="35" t="s">
        <v>1813</v>
      </c>
      <c r="F296" s="35" t="s">
        <v>1814</v>
      </c>
      <c r="G296" s="35" t="s">
        <v>1815</v>
      </c>
      <c r="H296" s="35" t="s">
        <v>1816</v>
      </c>
      <c r="I296" s="35" t="s">
        <v>1817</v>
      </c>
      <c r="J296" s="35" t="s">
        <v>1816</v>
      </c>
      <c r="K296" s="35" t="s">
        <v>82</v>
      </c>
      <c r="L296" s="35" t="s">
        <v>1818</v>
      </c>
      <c r="M296" s="35" t="s">
        <v>72</v>
      </c>
      <c r="O296" s="35" t="s">
        <v>122</v>
      </c>
    </row>
    <row r="297" spans="1:15" ht="75" hidden="1" x14ac:dyDescent="0.25">
      <c r="A297" s="35">
        <v>319</v>
      </c>
      <c r="B297" s="92">
        <v>5</v>
      </c>
      <c r="C297" s="92">
        <v>87</v>
      </c>
      <c r="D297" s="35" t="s">
        <v>3689</v>
      </c>
      <c r="E297" s="35" t="s">
        <v>1819</v>
      </c>
      <c r="F297" s="35" t="s">
        <v>1820</v>
      </c>
      <c r="G297" s="35" t="s">
        <v>1821</v>
      </c>
      <c r="H297" s="35" t="s">
        <v>689</v>
      </c>
      <c r="I297" s="35" t="s">
        <v>1822</v>
      </c>
      <c r="J297" s="35" t="s">
        <v>1821</v>
      </c>
      <c r="K297" s="35" t="s">
        <v>101</v>
      </c>
      <c r="L297" s="35" t="s">
        <v>1823</v>
      </c>
      <c r="M297" s="35" t="s">
        <v>536</v>
      </c>
      <c r="O297" s="35" t="s">
        <v>86</v>
      </c>
    </row>
    <row r="298" spans="1:15" ht="135" hidden="1" x14ac:dyDescent="0.25">
      <c r="A298" s="35">
        <v>320</v>
      </c>
      <c r="B298" s="92">
        <v>3</v>
      </c>
      <c r="C298" s="92">
        <v>90</v>
      </c>
      <c r="D298" s="35" t="s">
        <v>73</v>
      </c>
      <c r="E298" s="35" t="s">
        <v>1824</v>
      </c>
      <c r="F298" s="35" t="s">
        <v>1825</v>
      </c>
      <c r="G298" s="35" t="s">
        <v>1826</v>
      </c>
      <c r="H298" s="35" t="s">
        <v>1266</v>
      </c>
      <c r="I298" s="35" t="s">
        <v>1827</v>
      </c>
      <c r="J298" s="35" t="s">
        <v>1826</v>
      </c>
      <c r="K298" s="35" t="s">
        <v>101</v>
      </c>
      <c r="L298" s="35" t="s">
        <v>1828</v>
      </c>
      <c r="M298" s="35" t="s">
        <v>536</v>
      </c>
      <c r="O298" s="35" t="s">
        <v>122</v>
      </c>
    </row>
    <row r="299" spans="1:15" ht="90" hidden="1" x14ac:dyDescent="0.25">
      <c r="A299" s="35">
        <v>321</v>
      </c>
      <c r="B299" s="92">
        <v>3</v>
      </c>
      <c r="C299" s="92">
        <v>91</v>
      </c>
      <c r="D299" s="35" t="s">
        <v>73</v>
      </c>
      <c r="E299" s="35" t="s">
        <v>1829</v>
      </c>
      <c r="F299" s="35" t="s">
        <v>1830</v>
      </c>
      <c r="G299" s="35" t="s">
        <v>1831</v>
      </c>
      <c r="H299" s="35" t="s">
        <v>1832</v>
      </c>
      <c r="I299" s="35" t="s">
        <v>1833</v>
      </c>
      <c r="J299" s="35" t="s">
        <v>1832</v>
      </c>
      <c r="K299" s="35" t="s">
        <v>82</v>
      </c>
      <c r="L299" s="35" t="s">
        <v>1834</v>
      </c>
      <c r="M299" s="35" t="s">
        <v>536</v>
      </c>
      <c r="O299" s="35" t="s">
        <v>74</v>
      </c>
    </row>
    <row r="300" spans="1:15" ht="90" x14ac:dyDescent="0.25">
      <c r="A300" s="35">
        <v>322</v>
      </c>
      <c r="B300" s="92">
        <v>1</v>
      </c>
      <c r="C300" s="92">
        <v>34</v>
      </c>
      <c r="D300" s="35" t="s">
        <v>73</v>
      </c>
      <c r="E300" s="35" t="s">
        <v>1835</v>
      </c>
      <c r="F300" s="35" t="s">
        <v>1836</v>
      </c>
      <c r="G300" s="35" t="s">
        <v>1837</v>
      </c>
      <c r="H300" s="35" t="s">
        <v>1838</v>
      </c>
      <c r="I300" s="35" t="s">
        <v>1839</v>
      </c>
      <c r="J300" s="35" t="s">
        <v>1836</v>
      </c>
      <c r="K300" s="35" t="s">
        <v>69</v>
      </c>
      <c r="L300" s="35" t="s">
        <v>1840</v>
      </c>
      <c r="M300" s="35" t="s">
        <v>72</v>
      </c>
      <c r="O300" s="35" t="s">
        <v>74</v>
      </c>
    </row>
    <row r="301" spans="1:15" ht="135" hidden="1" x14ac:dyDescent="0.25">
      <c r="A301" s="35">
        <v>323</v>
      </c>
      <c r="B301" s="92">
        <v>5</v>
      </c>
      <c r="C301" s="92">
        <v>88</v>
      </c>
      <c r="D301" s="35" t="s">
        <v>3689</v>
      </c>
      <c r="E301" s="35" t="s">
        <v>1841</v>
      </c>
      <c r="F301" s="35" t="s">
        <v>1842</v>
      </c>
      <c r="G301" s="35" t="s">
        <v>1843</v>
      </c>
      <c r="H301" s="35" t="s">
        <v>1844</v>
      </c>
      <c r="I301" s="35" t="s">
        <v>1845</v>
      </c>
      <c r="J301" s="35" t="s">
        <v>1844</v>
      </c>
      <c r="K301" s="35" t="s">
        <v>82</v>
      </c>
      <c r="L301" s="35" t="s">
        <v>1846</v>
      </c>
      <c r="M301" s="35" t="s">
        <v>536</v>
      </c>
      <c r="O301" s="35" t="s">
        <v>122</v>
      </c>
    </row>
    <row r="302" spans="1:15" ht="75" x14ac:dyDescent="0.25">
      <c r="A302" s="35">
        <v>324</v>
      </c>
      <c r="B302" s="92">
        <v>1</v>
      </c>
      <c r="C302" s="92">
        <v>35</v>
      </c>
      <c r="D302" s="35" t="s">
        <v>73</v>
      </c>
      <c r="E302" s="35" t="s">
        <v>1847</v>
      </c>
      <c r="F302" s="35" t="s">
        <v>1848</v>
      </c>
      <c r="G302" s="35" t="s">
        <v>1849</v>
      </c>
      <c r="H302" s="35" t="s">
        <v>1850</v>
      </c>
      <c r="I302" s="35" t="s">
        <v>1851</v>
      </c>
      <c r="J302" s="35" t="s">
        <v>1848</v>
      </c>
      <c r="K302" s="35" t="s">
        <v>69</v>
      </c>
      <c r="L302" s="35" t="s">
        <v>1852</v>
      </c>
      <c r="M302" s="35" t="s">
        <v>72</v>
      </c>
      <c r="O302" s="35" t="s">
        <v>86</v>
      </c>
    </row>
    <row r="303" spans="1:15" ht="105" x14ac:dyDescent="0.25">
      <c r="A303" s="35">
        <v>325</v>
      </c>
      <c r="B303" s="92">
        <v>1</v>
      </c>
      <c r="C303" s="92">
        <v>36</v>
      </c>
      <c r="D303" s="35" t="s">
        <v>73</v>
      </c>
      <c r="E303" s="35" t="s">
        <v>1853</v>
      </c>
      <c r="F303" s="35" t="s">
        <v>1854</v>
      </c>
      <c r="G303" s="35" t="s">
        <v>1855</v>
      </c>
      <c r="H303" s="35" t="s">
        <v>1856</v>
      </c>
      <c r="I303" s="35" t="s">
        <v>1857</v>
      </c>
      <c r="J303" s="35" t="s">
        <v>1855</v>
      </c>
      <c r="K303" s="35" t="s">
        <v>101</v>
      </c>
      <c r="L303" s="35" t="s">
        <v>1858</v>
      </c>
      <c r="M303" s="35" t="s">
        <v>72</v>
      </c>
      <c r="O303" s="35" t="s">
        <v>74</v>
      </c>
    </row>
    <row r="304" spans="1:15" ht="90" hidden="1" x14ac:dyDescent="0.25">
      <c r="A304" s="35">
        <v>326</v>
      </c>
      <c r="B304" s="92">
        <v>3</v>
      </c>
      <c r="C304" s="92">
        <v>92</v>
      </c>
      <c r="D304" s="35" t="s">
        <v>73</v>
      </c>
      <c r="E304" s="35" t="s">
        <v>1859</v>
      </c>
      <c r="F304" s="35" t="s">
        <v>1860</v>
      </c>
      <c r="G304" s="35" t="s">
        <v>1638</v>
      </c>
      <c r="H304" s="35" t="s">
        <v>1861</v>
      </c>
      <c r="I304" s="35" t="s">
        <v>1640</v>
      </c>
      <c r="J304" s="35" t="s">
        <v>1640</v>
      </c>
      <c r="K304" s="35" t="s">
        <v>114</v>
      </c>
      <c r="L304" s="35" t="s">
        <v>1862</v>
      </c>
      <c r="M304" s="35" t="s">
        <v>536</v>
      </c>
      <c r="O304" s="35" t="s">
        <v>86</v>
      </c>
    </row>
    <row r="305" spans="1:15" ht="45" hidden="1" x14ac:dyDescent="0.25">
      <c r="A305" s="35">
        <v>327</v>
      </c>
      <c r="B305" s="92">
        <v>3</v>
      </c>
      <c r="C305" s="92">
        <v>93</v>
      </c>
      <c r="D305" s="35" t="s">
        <v>73</v>
      </c>
      <c r="E305" s="35" t="s">
        <v>1863</v>
      </c>
      <c r="F305" s="35" t="s">
        <v>1864</v>
      </c>
      <c r="G305" s="35" t="s">
        <v>1865</v>
      </c>
      <c r="H305" s="35" t="s">
        <v>1866</v>
      </c>
      <c r="I305" s="35" t="s">
        <v>1557</v>
      </c>
      <c r="J305" s="35" t="s">
        <v>1865</v>
      </c>
      <c r="K305" s="35" t="s">
        <v>101</v>
      </c>
      <c r="L305" s="35" t="s">
        <v>1867</v>
      </c>
      <c r="M305" s="35" t="s">
        <v>536</v>
      </c>
      <c r="O305" s="35" t="s">
        <v>86</v>
      </c>
    </row>
    <row r="306" spans="1:15" ht="150" hidden="1" x14ac:dyDescent="0.25">
      <c r="A306" s="35">
        <v>328</v>
      </c>
      <c r="B306" s="92">
        <v>2</v>
      </c>
      <c r="C306" s="92">
        <v>86</v>
      </c>
      <c r="D306" s="35" t="s">
        <v>73</v>
      </c>
      <c r="E306" s="35" t="s">
        <v>1868</v>
      </c>
      <c r="F306" s="35" t="s">
        <v>1869</v>
      </c>
      <c r="G306" s="35" t="s">
        <v>1870</v>
      </c>
      <c r="H306" s="35" t="s">
        <v>1871</v>
      </c>
      <c r="I306" s="35" t="s">
        <v>1872</v>
      </c>
      <c r="J306" s="35" t="s">
        <v>1869</v>
      </c>
      <c r="K306" s="35" t="s">
        <v>69</v>
      </c>
      <c r="L306" s="35" t="s">
        <v>1873</v>
      </c>
      <c r="M306" s="35" t="s">
        <v>95</v>
      </c>
      <c r="O306" s="35" t="s">
        <v>86</v>
      </c>
    </row>
    <row r="307" spans="1:15" ht="45" x14ac:dyDescent="0.25">
      <c r="A307" s="35">
        <v>329</v>
      </c>
      <c r="B307" s="92">
        <v>1</v>
      </c>
      <c r="C307" s="92">
        <v>37</v>
      </c>
      <c r="D307" s="35" t="s">
        <v>73</v>
      </c>
      <c r="E307" s="35" t="s">
        <v>1874</v>
      </c>
      <c r="F307" s="35" t="s">
        <v>1875</v>
      </c>
      <c r="G307" s="35" t="s">
        <v>1876</v>
      </c>
      <c r="H307" s="35" t="s">
        <v>1877</v>
      </c>
      <c r="I307" s="35" t="s">
        <v>1878</v>
      </c>
      <c r="J307" s="35" t="s">
        <v>1875</v>
      </c>
      <c r="K307" s="35" t="s">
        <v>69</v>
      </c>
      <c r="L307" s="35" t="s">
        <v>1879</v>
      </c>
      <c r="M307" s="35" t="s">
        <v>72</v>
      </c>
      <c r="O307" s="35" t="s">
        <v>74</v>
      </c>
    </row>
    <row r="308" spans="1:15" ht="150" hidden="1" x14ac:dyDescent="0.25">
      <c r="A308" s="35">
        <v>330</v>
      </c>
      <c r="B308" s="92">
        <v>5</v>
      </c>
      <c r="C308" s="92">
        <v>89</v>
      </c>
      <c r="D308" s="35" t="s">
        <v>3689</v>
      </c>
      <c r="E308" s="35" t="s">
        <v>1880</v>
      </c>
      <c r="F308" s="35" t="s">
        <v>1881</v>
      </c>
      <c r="G308" s="35" t="s">
        <v>1882</v>
      </c>
      <c r="H308" s="35" t="s">
        <v>1883</v>
      </c>
      <c r="I308" s="35" t="s">
        <v>1884</v>
      </c>
      <c r="J308" s="35" t="s">
        <v>1884</v>
      </c>
      <c r="K308" s="35" t="s">
        <v>114</v>
      </c>
      <c r="L308" s="35" t="s">
        <v>1885</v>
      </c>
      <c r="M308" s="35" t="s">
        <v>95</v>
      </c>
      <c r="O308" s="35" t="s">
        <v>86</v>
      </c>
    </row>
    <row r="309" spans="1:15" ht="75" hidden="1" x14ac:dyDescent="0.25">
      <c r="A309" s="35">
        <v>331</v>
      </c>
      <c r="B309" s="92">
        <v>5</v>
      </c>
      <c r="C309" s="92">
        <v>90</v>
      </c>
      <c r="D309" s="35" t="s">
        <v>3689</v>
      </c>
      <c r="E309" s="35" t="s">
        <v>1886</v>
      </c>
      <c r="F309" s="35" t="s">
        <v>1887</v>
      </c>
      <c r="G309" s="35" t="s">
        <v>1888</v>
      </c>
      <c r="H309" s="35" t="s">
        <v>1557</v>
      </c>
      <c r="I309" s="35" t="s">
        <v>1556</v>
      </c>
      <c r="J309" s="35" t="s">
        <v>1557</v>
      </c>
      <c r="K309" s="35" t="s">
        <v>82</v>
      </c>
      <c r="L309" s="35" t="s">
        <v>1889</v>
      </c>
      <c r="M309" s="35" t="s">
        <v>536</v>
      </c>
      <c r="O309" s="35" t="s">
        <v>86</v>
      </c>
    </row>
    <row r="310" spans="1:15" ht="135" hidden="1" x14ac:dyDescent="0.25">
      <c r="A310" s="35">
        <v>332</v>
      </c>
      <c r="B310" s="92">
        <v>3</v>
      </c>
      <c r="C310" s="92">
        <v>94</v>
      </c>
      <c r="D310" s="35" t="s">
        <v>73</v>
      </c>
      <c r="E310" s="35" t="s">
        <v>1890</v>
      </c>
      <c r="F310" s="35" t="s">
        <v>1891</v>
      </c>
      <c r="G310" s="35" t="s">
        <v>1892</v>
      </c>
      <c r="H310" s="35" t="s">
        <v>1893</v>
      </c>
      <c r="I310" s="35" t="s">
        <v>1894</v>
      </c>
      <c r="J310" s="35" t="s">
        <v>1893</v>
      </c>
      <c r="K310" s="35" t="s">
        <v>82</v>
      </c>
      <c r="L310" s="35" t="s">
        <v>1895</v>
      </c>
      <c r="M310" s="35" t="s">
        <v>536</v>
      </c>
      <c r="O310" s="35" t="s">
        <v>86</v>
      </c>
    </row>
    <row r="311" spans="1:15" ht="180" hidden="1" x14ac:dyDescent="0.25">
      <c r="A311" s="35">
        <v>333</v>
      </c>
      <c r="B311" s="92">
        <v>2</v>
      </c>
      <c r="C311" s="92">
        <v>87</v>
      </c>
      <c r="D311" s="35" t="s">
        <v>73</v>
      </c>
      <c r="E311" s="35" t="s">
        <v>1896</v>
      </c>
      <c r="F311" s="35" t="s">
        <v>1897</v>
      </c>
      <c r="G311" s="35" t="s">
        <v>1898</v>
      </c>
      <c r="H311" s="35" t="s">
        <v>1899</v>
      </c>
      <c r="I311" s="35" t="s">
        <v>1900</v>
      </c>
      <c r="J311" s="35" t="s">
        <v>1899</v>
      </c>
      <c r="K311" s="35" t="s">
        <v>82</v>
      </c>
      <c r="L311" s="35" t="s">
        <v>1901</v>
      </c>
      <c r="M311" s="35" t="s">
        <v>95</v>
      </c>
      <c r="O311" s="35" t="s">
        <v>86</v>
      </c>
    </row>
    <row r="312" spans="1:15" ht="105" hidden="1" x14ac:dyDescent="0.25">
      <c r="A312" s="35">
        <v>334</v>
      </c>
      <c r="B312" s="92">
        <v>2</v>
      </c>
      <c r="C312" s="92">
        <v>88</v>
      </c>
      <c r="D312" s="35" t="s">
        <v>73</v>
      </c>
      <c r="E312" s="35" t="s">
        <v>1902</v>
      </c>
      <c r="F312" s="35" t="s">
        <v>1382</v>
      </c>
      <c r="G312" s="35" t="s">
        <v>1903</v>
      </c>
      <c r="H312" s="35" t="s">
        <v>227</v>
      </c>
      <c r="I312" s="35" t="s">
        <v>223</v>
      </c>
      <c r="J312" s="35" t="s">
        <v>223</v>
      </c>
      <c r="K312" s="35" t="s">
        <v>114</v>
      </c>
      <c r="L312" s="35" t="s">
        <v>1904</v>
      </c>
      <c r="M312" s="35" t="s">
        <v>95</v>
      </c>
      <c r="O312" s="35" t="s">
        <v>74</v>
      </c>
    </row>
    <row r="313" spans="1:15" ht="75" hidden="1" x14ac:dyDescent="0.25">
      <c r="A313" s="35">
        <v>335</v>
      </c>
      <c r="B313" s="92">
        <v>2</v>
      </c>
      <c r="C313" s="92">
        <v>89</v>
      </c>
      <c r="D313" s="35" t="s">
        <v>73</v>
      </c>
      <c r="E313" s="35" t="s">
        <v>1905</v>
      </c>
      <c r="F313" s="35" t="s">
        <v>1906</v>
      </c>
      <c r="G313" s="35" t="s">
        <v>1907</v>
      </c>
      <c r="H313" s="35" t="s">
        <v>1908</v>
      </c>
      <c r="I313" s="35" t="s">
        <v>1909</v>
      </c>
      <c r="J313" s="35" t="s">
        <v>1909</v>
      </c>
      <c r="K313" s="35" t="s">
        <v>114</v>
      </c>
      <c r="L313" s="35" t="s">
        <v>1910</v>
      </c>
      <c r="M313" s="35" t="s">
        <v>95</v>
      </c>
      <c r="O313" s="35" t="s">
        <v>86</v>
      </c>
    </row>
    <row r="314" spans="1:15" ht="60" hidden="1" x14ac:dyDescent="0.25">
      <c r="A314" s="35">
        <v>336</v>
      </c>
      <c r="B314" s="92">
        <v>5</v>
      </c>
      <c r="C314" s="92">
        <v>91</v>
      </c>
      <c r="D314" s="35" t="s">
        <v>3689</v>
      </c>
      <c r="E314" s="35" t="s">
        <v>1911</v>
      </c>
      <c r="F314" s="35" t="s">
        <v>1912</v>
      </c>
      <c r="G314" s="35" t="s">
        <v>1913</v>
      </c>
      <c r="H314" s="35" t="s">
        <v>1914</v>
      </c>
      <c r="I314" s="35" t="s">
        <v>1915</v>
      </c>
      <c r="J314" s="35" t="s">
        <v>1912</v>
      </c>
      <c r="K314" s="35" t="s">
        <v>69</v>
      </c>
      <c r="L314" s="35" t="s">
        <v>1916</v>
      </c>
      <c r="M314" s="35" t="s">
        <v>95</v>
      </c>
      <c r="O314" s="35" t="s">
        <v>74</v>
      </c>
    </row>
    <row r="315" spans="1:15" ht="60" hidden="1" x14ac:dyDescent="0.25">
      <c r="A315" s="35">
        <v>337</v>
      </c>
      <c r="B315" s="92">
        <v>2</v>
      </c>
      <c r="C315" s="92">
        <v>90</v>
      </c>
      <c r="D315" s="35" t="s">
        <v>73</v>
      </c>
      <c r="E315" s="35" t="s">
        <v>1917</v>
      </c>
      <c r="F315" s="35" t="s">
        <v>1918</v>
      </c>
      <c r="G315" s="35" t="s">
        <v>1919</v>
      </c>
      <c r="H315" s="35" t="s">
        <v>1920</v>
      </c>
      <c r="I315" s="35" t="s">
        <v>1921</v>
      </c>
      <c r="J315" s="35" t="s">
        <v>1918</v>
      </c>
      <c r="K315" s="35" t="s">
        <v>69</v>
      </c>
      <c r="L315" s="35" t="s">
        <v>1922</v>
      </c>
      <c r="M315" s="35" t="s">
        <v>95</v>
      </c>
      <c r="O315" s="35" t="s">
        <v>74</v>
      </c>
    </row>
    <row r="316" spans="1:15" ht="90" x14ac:dyDescent="0.25">
      <c r="A316" s="35">
        <v>338</v>
      </c>
      <c r="B316" s="92">
        <v>1</v>
      </c>
      <c r="C316" s="92">
        <v>38</v>
      </c>
      <c r="D316" s="35" t="s">
        <v>73</v>
      </c>
      <c r="E316" s="35" t="s">
        <v>1923</v>
      </c>
      <c r="F316" s="35" t="s">
        <v>1924</v>
      </c>
      <c r="G316" s="35" t="s">
        <v>1925</v>
      </c>
      <c r="H316" s="35" t="s">
        <v>1926</v>
      </c>
      <c r="I316" s="35" t="s">
        <v>1927</v>
      </c>
      <c r="J316" s="35" t="s">
        <v>1926</v>
      </c>
      <c r="K316" s="35" t="s">
        <v>82</v>
      </c>
      <c r="L316" s="35" t="s">
        <v>1928</v>
      </c>
      <c r="M316" s="35" t="s">
        <v>72</v>
      </c>
      <c r="O316" s="35" t="s">
        <v>74</v>
      </c>
    </row>
    <row r="317" spans="1:15" ht="45" hidden="1" x14ac:dyDescent="0.25">
      <c r="A317" s="35">
        <v>339</v>
      </c>
      <c r="B317" s="92">
        <v>2</v>
      </c>
      <c r="C317" s="92">
        <v>91</v>
      </c>
      <c r="D317" s="35" t="s">
        <v>73</v>
      </c>
      <c r="E317" s="35" t="s">
        <v>1929</v>
      </c>
      <c r="F317" s="35" t="s">
        <v>1930</v>
      </c>
      <c r="G317" s="35" t="s">
        <v>1931</v>
      </c>
      <c r="H317" s="35" t="s">
        <v>1932</v>
      </c>
      <c r="I317" s="35" t="s">
        <v>1933</v>
      </c>
      <c r="J317" s="35" t="s">
        <v>1930</v>
      </c>
      <c r="K317" s="35" t="s">
        <v>69</v>
      </c>
      <c r="L317" s="35" t="s">
        <v>1934</v>
      </c>
      <c r="M317" s="35" t="s">
        <v>95</v>
      </c>
      <c r="O317" s="35" t="s">
        <v>74</v>
      </c>
    </row>
    <row r="318" spans="1:15" ht="165" hidden="1" x14ac:dyDescent="0.25">
      <c r="A318" s="35">
        <v>340</v>
      </c>
      <c r="B318" s="92">
        <v>5</v>
      </c>
      <c r="C318" s="92">
        <v>92</v>
      </c>
      <c r="D318" s="35" t="s">
        <v>3689</v>
      </c>
      <c r="E318" s="35" t="s">
        <v>1935</v>
      </c>
      <c r="F318" s="35" t="s">
        <v>1933</v>
      </c>
      <c r="G318" s="35" t="s">
        <v>1936</v>
      </c>
      <c r="H318" s="35" t="s">
        <v>1937</v>
      </c>
      <c r="I318" s="35" t="s">
        <v>1938</v>
      </c>
      <c r="J318" s="35" t="s">
        <v>1933</v>
      </c>
      <c r="K318" s="35" t="s">
        <v>69</v>
      </c>
      <c r="L318" s="35" t="s">
        <v>1939</v>
      </c>
      <c r="M318" s="35" t="s">
        <v>95</v>
      </c>
      <c r="O318" s="35" t="s">
        <v>74</v>
      </c>
    </row>
    <row r="319" spans="1:15" ht="60" hidden="1" x14ac:dyDescent="0.25">
      <c r="A319" s="35">
        <v>342</v>
      </c>
      <c r="B319" s="92">
        <v>3</v>
      </c>
      <c r="C319" s="92">
        <v>95</v>
      </c>
      <c r="D319" s="35" t="s">
        <v>73</v>
      </c>
      <c r="E319" s="35" t="s">
        <v>1940</v>
      </c>
      <c r="F319" s="35" t="s">
        <v>1941</v>
      </c>
      <c r="G319" s="35" t="s">
        <v>1942</v>
      </c>
      <c r="H319" s="35" t="s">
        <v>1943</v>
      </c>
      <c r="I319" s="35" t="s">
        <v>1944</v>
      </c>
      <c r="J319" s="35" t="s">
        <v>1944</v>
      </c>
      <c r="K319" s="35" t="s">
        <v>114</v>
      </c>
      <c r="L319" s="35" t="s">
        <v>1945</v>
      </c>
      <c r="M319" s="35" t="s">
        <v>536</v>
      </c>
      <c r="O319" s="35" t="s">
        <v>86</v>
      </c>
    </row>
    <row r="320" spans="1:15" ht="90" hidden="1" x14ac:dyDescent="0.25">
      <c r="A320" s="35">
        <v>343</v>
      </c>
      <c r="B320" s="92">
        <v>2</v>
      </c>
      <c r="C320" s="92">
        <v>92</v>
      </c>
      <c r="D320" s="35" t="s">
        <v>73</v>
      </c>
      <c r="E320" s="35" t="s">
        <v>1946</v>
      </c>
      <c r="F320" s="35" t="s">
        <v>1947</v>
      </c>
      <c r="G320" s="35" t="s">
        <v>1948</v>
      </c>
      <c r="H320" s="35" t="s">
        <v>1949</v>
      </c>
      <c r="I320" s="35" t="s">
        <v>1950</v>
      </c>
      <c r="J320" s="35" t="s">
        <v>1949</v>
      </c>
      <c r="K320" s="35" t="s">
        <v>82</v>
      </c>
      <c r="L320" s="35" t="s">
        <v>1951</v>
      </c>
      <c r="M320" s="35" t="s">
        <v>95</v>
      </c>
      <c r="O320" s="35" t="s">
        <v>74</v>
      </c>
    </row>
    <row r="321" spans="1:15" ht="120" hidden="1" x14ac:dyDescent="0.25">
      <c r="A321" s="35">
        <v>344</v>
      </c>
      <c r="B321" s="92">
        <v>2</v>
      </c>
      <c r="C321" s="92">
        <v>93</v>
      </c>
      <c r="D321" s="35" t="s">
        <v>73</v>
      </c>
      <c r="E321" s="35" t="s">
        <v>1952</v>
      </c>
      <c r="F321" s="35" t="s">
        <v>1953</v>
      </c>
      <c r="G321" s="35" t="s">
        <v>1954</v>
      </c>
      <c r="H321" s="35" t="s">
        <v>1955</v>
      </c>
      <c r="I321" s="35" t="s">
        <v>1956</v>
      </c>
      <c r="J321" s="35" t="s">
        <v>1954</v>
      </c>
      <c r="K321" s="35" t="s">
        <v>101</v>
      </c>
      <c r="L321" s="35" t="s">
        <v>1957</v>
      </c>
      <c r="M321" s="35" t="s">
        <v>95</v>
      </c>
      <c r="O321" s="35" t="s">
        <v>86</v>
      </c>
    </row>
    <row r="322" spans="1:15" ht="105" hidden="1" x14ac:dyDescent="0.25">
      <c r="A322" s="35">
        <v>345</v>
      </c>
      <c r="B322" s="92">
        <v>2</v>
      </c>
      <c r="C322" s="92">
        <v>94</v>
      </c>
      <c r="D322" s="35" t="s">
        <v>73</v>
      </c>
      <c r="E322" s="35" t="s">
        <v>1958</v>
      </c>
      <c r="F322" s="35" t="s">
        <v>1959</v>
      </c>
      <c r="G322" s="35" t="s">
        <v>1960</v>
      </c>
      <c r="H322" s="35" t="s">
        <v>1961</v>
      </c>
      <c r="I322" s="35" t="s">
        <v>738</v>
      </c>
      <c r="J322" s="35" t="s">
        <v>1961</v>
      </c>
      <c r="K322" s="35" t="s">
        <v>82</v>
      </c>
      <c r="L322" s="35" t="s">
        <v>1962</v>
      </c>
      <c r="M322" s="35" t="s">
        <v>95</v>
      </c>
      <c r="O322" s="35" t="s">
        <v>122</v>
      </c>
    </row>
    <row r="323" spans="1:15" ht="90" hidden="1" x14ac:dyDescent="0.25">
      <c r="A323" s="35">
        <v>346</v>
      </c>
      <c r="B323" s="92">
        <v>3</v>
      </c>
      <c r="C323" s="92">
        <v>96</v>
      </c>
      <c r="D323" s="35" t="s">
        <v>73</v>
      </c>
      <c r="E323" s="35" t="s">
        <v>1963</v>
      </c>
      <c r="F323" s="35" t="s">
        <v>1964</v>
      </c>
      <c r="G323" s="35" t="s">
        <v>1965</v>
      </c>
      <c r="H323" s="35" t="s">
        <v>1966</v>
      </c>
      <c r="I323" s="35" t="s">
        <v>1967</v>
      </c>
      <c r="J323" s="35" t="s">
        <v>1965</v>
      </c>
      <c r="K323" s="35" t="s">
        <v>101</v>
      </c>
      <c r="L323" s="35" t="s">
        <v>1968</v>
      </c>
      <c r="M323" s="35" t="s">
        <v>536</v>
      </c>
      <c r="O323" s="35" t="s">
        <v>86</v>
      </c>
    </row>
    <row r="324" spans="1:15" ht="90" hidden="1" x14ac:dyDescent="0.25">
      <c r="A324" s="35">
        <v>347</v>
      </c>
      <c r="B324" s="92">
        <v>5</v>
      </c>
      <c r="C324" s="92">
        <v>93</v>
      </c>
      <c r="D324" s="35" t="s">
        <v>3689</v>
      </c>
      <c r="E324" s="35" t="s">
        <v>1969</v>
      </c>
      <c r="F324" s="35" t="s">
        <v>1970</v>
      </c>
      <c r="G324" s="35" t="s">
        <v>1971</v>
      </c>
      <c r="H324" s="35" t="s">
        <v>1972</v>
      </c>
      <c r="I324" s="35" t="s">
        <v>1814</v>
      </c>
      <c r="J324" s="35" t="s">
        <v>1970</v>
      </c>
      <c r="K324" s="35" t="s">
        <v>69</v>
      </c>
      <c r="L324" s="35" t="s">
        <v>1973</v>
      </c>
      <c r="M324" s="35" t="s">
        <v>72</v>
      </c>
      <c r="O324" s="35" t="s">
        <v>74</v>
      </c>
    </row>
    <row r="325" spans="1:15" ht="120" hidden="1" x14ac:dyDescent="0.25">
      <c r="A325" s="35">
        <v>348</v>
      </c>
      <c r="B325" s="92">
        <v>3</v>
      </c>
      <c r="C325" s="92">
        <v>97</v>
      </c>
      <c r="D325" s="35" t="s">
        <v>73</v>
      </c>
      <c r="E325" s="35" t="s">
        <v>1974</v>
      </c>
      <c r="F325" s="35" t="s">
        <v>1975</v>
      </c>
      <c r="G325" s="35" t="s">
        <v>1976</v>
      </c>
      <c r="H325" s="35" t="s">
        <v>1977</v>
      </c>
      <c r="I325" s="35" t="s">
        <v>1978</v>
      </c>
      <c r="J325" s="35" t="s">
        <v>1978</v>
      </c>
      <c r="K325" s="35" t="s">
        <v>114</v>
      </c>
      <c r="L325" s="35" t="s">
        <v>1979</v>
      </c>
      <c r="M325" s="35" t="s">
        <v>536</v>
      </c>
      <c r="O325" s="35" t="s">
        <v>122</v>
      </c>
    </row>
    <row r="326" spans="1:15" ht="60" hidden="1" x14ac:dyDescent="0.25">
      <c r="A326" s="35">
        <v>349</v>
      </c>
      <c r="B326" s="92">
        <v>3</v>
      </c>
      <c r="C326" s="92">
        <v>98</v>
      </c>
      <c r="D326" s="35" t="s">
        <v>73</v>
      </c>
      <c r="E326" s="35" t="s">
        <v>1980</v>
      </c>
      <c r="F326" s="35" t="s">
        <v>1981</v>
      </c>
      <c r="G326" s="35" t="s">
        <v>1982</v>
      </c>
      <c r="H326" s="35" t="s">
        <v>1983</v>
      </c>
      <c r="I326" s="35" t="s">
        <v>1984</v>
      </c>
      <c r="J326" s="35" t="s">
        <v>1983</v>
      </c>
      <c r="K326" s="35" t="s">
        <v>82</v>
      </c>
      <c r="L326" s="35" t="s">
        <v>1985</v>
      </c>
      <c r="M326" s="35" t="s">
        <v>536</v>
      </c>
      <c r="O326" s="35" t="s">
        <v>86</v>
      </c>
    </row>
    <row r="327" spans="1:15" ht="120" hidden="1" x14ac:dyDescent="0.25">
      <c r="A327" s="35">
        <v>350</v>
      </c>
      <c r="B327" s="92">
        <v>3</v>
      </c>
      <c r="C327" s="92">
        <v>99</v>
      </c>
      <c r="D327" s="35" t="s">
        <v>73</v>
      </c>
      <c r="E327" s="35" t="s">
        <v>1986</v>
      </c>
      <c r="F327" s="35" t="s">
        <v>1987</v>
      </c>
      <c r="G327" s="35" t="s">
        <v>1988</v>
      </c>
      <c r="H327" s="35" t="s">
        <v>1989</v>
      </c>
      <c r="I327" s="35" t="s">
        <v>1990</v>
      </c>
      <c r="J327" s="35" t="s">
        <v>1990</v>
      </c>
      <c r="K327" s="35" t="s">
        <v>114</v>
      </c>
      <c r="L327" s="35" t="s">
        <v>1991</v>
      </c>
      <c r="M327" s="35" t="s">
        <v>536</v>
      </c>
      <c r="O327" s="35" t="s">
        <v>86</v>
      </c>
    </row>
    <row r="328" spans="1:15" ht="135" hidden="1" x14ac:dyDescent="0.25">
      <c r="A328" s="35">
        <v>351</v>
      </c>
      <c r="B328" s="92">
        <v>5</v>
      </c>
      <c r="C328" s="92">
        <v>94</v>
      </c>
      <c r="D328" s="35" t="s">
        <v>3689</v>
      </c>
      <c r="E328" s="35" t="s">
        <v>1992</v>
      </c>
      <c r="F328" s="35" t="s">
        <v>1993</v>
      </c>
      <c r="G328" s="35" t="s">
        <v>1994</v>
      </c>
      <c r="H328" s="35" t="s">
        <v>1995</v>
      </c>
      <c r="I328" s="35" t="s">
        <v>1996</v>
      </c>
      <c r="J328" s="35" t="s">
        <v>1995</v>
      </c>
      <c r="K328" s="35" t="s">
        <v>82</v>
      </c>
      <c r="L328" s="35" t="s">
        <v>1997</v>
      </c>
      <c r="M328" s="35" t="s">
        <v>536</v>
      </c>
      <c r="O328" s="35" t="s">
        <v>122</v>
      </c>
    </row>
    <row r="329" spans="1:15" ht="60" hidden="1" x14ac:dyDescent="0.25">
      <c r="A329" s="35">
        <v>352</v>
      </c>
      <c r="B329" s="92">
        <v>3</v>
      </c>
      <c r="C329" s="92">
        <v>100</v>
      </c>
      <c r="D329" s="35" t="s">
        <v>73</v>
      </c>
      <c r="E329" s="35" t="s">
        <v>1998</v>
      </c>
      <c r="F329" s="35" t="s">
        <v>1999</v>
      </c>
      <c r="G329" s="35" t="s">
        <v>2000</v>
      </c>
      <c r="H329" s="35" t="s">
        <v>2001</v>
      </c>
      <c r="I329" s="35" t="s">
        <v>2002</v>
      </c>
      <c r="J329" s="35" t="s">
        <v>1999</v>
      </c>
      <c r="K329" s="35" t="s">
        <v>69</v>
      </c>
      <c r="L329" s="35" t="s">
        <v>2003</v>
      </c>
      <c r="M329" s="35" t="s">
        <v>536</v>
      </c>
      <c r="O329" s="35" t="s">
        <v>86</v>
      </c>
    </row>
    <row r="330" spans="1:15" ht="75" hidden="1" x14ac:dyDescent="0.25">
      <c r="A330" s="35">
        <v>353</v>
      </c>
      <c r="B330" s="92">
        <v>3</v>
      </c>
      <c r="C330" s="92">
        <v>101</v>
      </c>
      <c r="D330" s="35" t="s">
        <v>73</v>
      </c>
      <c r="E330" s="35" t="s">
        <v>2004</v>
      </c>
      <c r="F330" s="35" t="s">
        <v>2005</v>
      </c>
      <c r="G330" s="35" t="s">
        <v>2006</v>
      </c>
      <c r="H330" s="35" t="s">
        <v>2007</v>
      </c>
      <c r="I330" s="35" t="s">
        <v>2008</v>
      </c>
      <c r="J330" s="35" t="s">
        <v>2008</v>
      </c>
      <c r="K330" s="35" t="s">
        <v>114</v>
      </c>
      <c r="L330" s="35" t="s">
        <v>2009</v>
      </c>
      <c r="M330" s="35" t="s">
        <v>536</v>
      </c>
      <c r="O330" s="35" t="s">
        <v>86</v>
      </c>
    </row>
    <row r="331" spans="1:15" ht="90" hidden="1" x14ac:dyDescent="0.25">
      <c r="A331" s="35">
        <v>354</v>
      </c>
      <c r="B331" s="92">
        <v>3</v>
      </c>
      <c r="C331" s="92">
        <v>102</v>
      </c>
      <c r="D331" s="35" t="s">
        <v>73</v>
      </c>
      <c r="E331" s="35" t="s">
        <v>2010</v>
      </c>
      <c r="F331" s="35" t="s">
        <v>2011</v>
      </c>
      <c r="G331" s="35" t="s">
        <v>2012</v>
      </c>
      <c r="H331" s="35" t="s">
        <v>2013</v>
      </c>
      <c r="I331" s="35" t="s">
        <v>2014</v>
      </c>
      <c r="J331" s="35" t="s">
        <v>2013</v>
      </c>
      <c r="K331" s="35" t="s">
        <v>82</v>
      </c>
      <c r="L331" s="35" t="s">
        <v>2015</v>
      </c>
      <c r="M331" s="35" t="s">
        <v>536</v>
      </c>
      <c r="O331" s="35" t="s">
        <v>86</v>
      </c>
    </row>
    <row r="332" spans="1:15" ht="105" hidden="1" x14ac:dyDescent="0.25">
      <c r="A332" s="35">
        <v>355</v>
      </c>
      <c r="B332" s="92">
        <v>2</v>
      </c>
      <c r="C332" s="92">
        <v>95</v>
      </c>
      <c r="D332" s="35" t="s">
        <v>73</v>
      </c>
      <c r="E332" s="35" t="s">
        <v>2016</v>
      </c>
      <c r="F332" s="35" t="s">
        <v>2017</v>
      </c>
      <c r="G332" s="35" t="s">
        <v>2018</v>
      </c>
      <c r="H332" s="35" t="s">
        <v>2019</v>
      </c>
      <c r="I332" s="35" t="s">
        <v>2020</v>
      </c>
      <c r="J332" s="35" t="s">
        <v>2017</v>
      </c>
      <c r="K332" s="35" t="s">
        <v>69</v>
      </c>
      <c r="L332" s="35" t="s">
        <v>2021</v>
      </c>
      <c r="M332" s="35" t="s">
        <v>95</v>
      </c>
      <c r="O332" s="35" t="s">
        <v>74</v>
      </c>
    </row>
    <row r="333" spans="1:15" ht="135" hidden="1" x14ac:dyDescent="0.25">
      <c r="A333" s="35">
        <v>356</v>
      </c>
      <c r="B333" s="92">
        <v>2</v>
      </c>
      <c r="C333" s="92">
        <v>96</v>
      </c>
      <c r="D333" s="35" t="s">
        <v>73</v>
      </c>
      <c r="E333" s="35" t="s">
        <v>2022</v>
      </c>
      <c r="F333" s="35" t="s">
        <v>2023</v>
      </c>
      <c r="G333" s="35" t="s">
        <v>2024</v>
      </c>
      <c r="H333" s="35" t="s">
        <v>2025</v>
      </c>
      <c r="I333" s="35" t="s">
        <v>1073</v>
      </c>
      <c r="J333" s="35" t="s">
        <v>2023</v>
      </c>
      <c r="K333" s="35" t="s">
        <v>69</v>
      </c>
      <c r="L333" s="35" t="s">
        <v>2026</v>
      </c>
      <c r="M333" s="35" t="s">
        <v>95</v>
      </c>
      <c r="O333" s="35" t="s">
        <v>86</v>
      </c>
    </row>
    <row r="334" spans="1:15" ht="105" hidden="1" x14ac:dyDescent="0.25">
      <c r="A334" s="35">
        <v>357</v>
      </c>
      <c r="B334" s="92">
        <v>5</v>
      </c>
      <c r="C334" s="92">
        <v>95</v>
      </c>
      <c r="D334" s="35" t="s">
        <v>3689</v>
      </c>
      <c r="E334" s="35" t="s">
        <v>2027</v>
      </c>
      <c r="F334" s="35" t="s">
        <v>509</v>
      </c>
      <c r="G334" s="35" t="s">
        <v>2028</v>
      </c>
      <c r="H334" s="35" t="s">
        <v>2029</v>
      </c>
      <c r="I334" s="35" t="s">
        <v>2030</v>
      </c>
      <c r="J334" s="35" t="s">
        <v>2030</v>
      </c>
      <c r="K334" s="35" t="s">
        <v>114</v>
      </c>
      <c r="L334" s="35" t="s">
        <v>2031</v>
      </c>
      <c r="M334" s="35" t="s">
        <v>95</v>
      </c>
      <c r="O334" s="35" t="s">
        <v>86</v>
      </c>
    </row>
    <row r="335" spans="1:15" ht="75" hidden="1" x14ac:dyDescent="0.25">
      <c r="A335" s="35">
        <v>358</v>
      </c>
      <c r="B335" s="92">
        <v>2</v>
      </c>
      <c r="C335" s="92">
        <v>97</v>
      </c>
      <c r="D335" s="35" t="s">
        <v>73</v>
      </c>
      <c r="E335" s="35" t="s">
        <v>2032</v>
      </c>
      <c r="F335" s="35" t="s">
        <v>2033</v>
      </c>
      <c r="G335" s="35" t="s">
        <v>2034</v>
      </c>
      <c r="H335" s="35" t="s">
        <v>2035</v>
      </c>
      <c r="I335" s="35" t="s">
        <v>2036</v>
      </c>
      <c r="J335" s="35" t="s">
        <v>2036</v>
      </c>
      <c r="K335" s="35" t="s">
        <v>114</v>
      </c>
      <c r="L335" s="35" t="s">
        <v>2037</v>
      </c>
      <c r="M335" s="35" t="s">
        <v>95</v>
      </c>
      <c r="O335" s="35" t="s">
        <v>122</v>
      </c>
    </row>
    <row r="336" spans="1:15" ht="120" hidden="1" x14ac:dyDescent="0.25">
      <c r="A336" s="35">
        <v>359</v>
      </c>
      <c r="B336" s="92">
        <v>2</v>
      </c>
      <c r="C336" s="92">
        <v>98</v>
      </c>
      <c r="D336" s="35" t="s">
        <v>73</v>
      </c>
      <c r="E336" s="35" t="s">
        <v>2038</v>
      </c>
      <c r="F336" s="35" t="s">
        <v>2039</v>
      </c>
      <c r="G336" s="35" t="s">
        <v>2040</v>
      </c>
      <c r="H336" s="35" t="s">
        <v>2041</v>
      </c>
      <c r="I336" s="35" t="s">
        <v>2042</v>
      </c>
      <c r="J336" s="35" t="s">
        <v>2042</v>
      </c>
      <c r="K336" s="35" t="s">
        <v>114</v>
      </c>
      <c r="L336" s="35" t="s">
        <v>2043</v>
      </c>
      <c r="M336" s="35" t="s">
        <v>95</v>
      </c>
      <c r="O336" s="35" t="s">
        <v>122</v>
      </c>
    </row>
    <row r="337" spans="1:15" ht="75" hidden="1" x14ac:dyDescent="0.25">
      <c r="A337" s="35">
        <v>360</v>
      </c>
      <c r="B337" s="92">
        <v>2</v>
      </c>
      <c r="C337" s="92">
        <v>99</v>
      </c>
      <c r="D337" s="35" t="s">
        <v>73</v>
      </c>
      <c r="E337" s="35" t="s">
        <v>2044</v>
      </c>
      <c r="F337" s="35" t="s">
        <v>2045</v>
      </c>
      <c r="G337" s="35" t="s">
        <v>1032</v>
      </c>
      <c r="H337" s="35" t="s">
        <v>2046</v>
      </c>
      <c r="I337" s="35" t="s">
        <v>2047</v>
      </c>
      <c r="J337" s="35" t="s">
        <v>2047</v>
      </c>
      <c r="K337" s="35" t="s">
        <v>114</v>
      </c>
      <c r="L337" s="35" t="s">
        <v>2048</v>
      </c>
      <c r="M337" s="35" t="s">
        <v>95</v>
      </c>
      <c r="O337" s="35" t="s">
        <v>74</v>
      </c>
    </row>
    <row r="338" spans="1:15" ht="150" hidden="1" x14ac:dyDescent="0.25">
      <c r="A338" s="35">
        <v>361</v>
      </c>
      <c r="B338" s="92">
        <v>2</v>
      </c>
      <c r="C338" s="92">
        <v>100</v>
      </c>
      <c r="D338" s="35" t="s">
        <v>73</v>
      </c>
      <c r="E338" s="35" t="s">
        <v>2049</v>
      </c>
      <c r="F338" s="35" t="s">
        <v>2050</v>
      </c>
      <c r="G338" s="35" t="s">
        <v>2051</v>
      </c>
      <c r="H338" s="35" t="s">
        <v>2052</v>
      </c>
      <c r="I338" s="35" t="s">
        <v>2053</v>
      </c>
      <c r="J338" s="35" t="s">
        <v>2050</v>
      </c>
      <c r="K338" s="35" t="s">
        <v>69</v>
      </c>
      <c r="L338" s="35" t="s">
        <v>2054</v>
      </c>
      <c r="M338" s="35" t="s">
        <v>95</v>
      </c>
      <c r="O338" s="35" t="s">
        <v>86</v>
      </c>
    </row>
    <row r="339" spans="1:15" ht="135" hidden="1" x14ac:dyDescent="0.25">
      <c r="A339" s="35">
        <v>362</v>
      </c>
      <c r="B339" s="92">
        <v>2</v>
      </c>
      <c r="C339" s="92">
        <v>101</v>
      </c>
      <c r="D339" s="35" t="s">
        <v>73</v>
      </c>
      <c r="E339" s="35" t="s">
        <v>2055</v>
      </c>
      <c r="F339" s="35" t="s">
        <v>2056</v>
      </c>
      <c r="G339" s="35" t="s">
        <v>2057</v>
      </c>
      <c r="H339" s="35" t="s">
        <v>2058</v>
      </c>
      <c r="I339" s="35" t="s">
        <v>2059</v>
      </c>
      <c r="J339" s="35" t="s">
        <v>2059</v>
      </c>
      <c r="K339" s="35" t="s">
        <v>114</v>
      </c>
      <c r="L339" s="35" t="s">
        <v>2060</v>
      </c>
      <c r="M339" s="35" t="s">
        <v>95</v>
      </c>
      <c r="O339" s="35" t="s">
        <v>74</v>
      </c>
    </row>
    <row r="340" spans="1:15" ht="60" hidden="1" x14ac:dyDescent="0.25">
      <c r="A340" s="35">
        <v>363</v>
      </c>
      <c r="B340" s="92">
        <v>5</v>
      </c>
      <c r="C340" s="92">
        <v>96</v>
      </c>
      <c r="D340" s="35" t="s">
        <v>3689</v>
      </c>
      <c r="E340" s="35" t="s">
        <v>2061</v>
      </c>
      <c r="F340" s="35" t="s">
        <v>2062</v>
      </c>
      <c r="G340" s="35" t="s">
        <v>2063</v>
      </c>
      <c r="H340" s="35" t="s">
        <v>2064</v>
      </c>
      <c r="I340" s="35" t="s">
        <v>2065</v>
      </c>
      <c r="J340" s="35" t="s">
        <v>2064</v>
      </c>
      <c r="K340" s="35" t="s">
        <v>82</v>
      </c>
      <c r="L340" s="35" t="s">
        <v>2066</v>
      </c>
      <c r="M340" s="35" t="s">
        <v>95</v>
      </c>
      <c r="O340" s="35" t="s">
        <v>74</v>
      </c>
    </row>
    <row r="341" spans="1:15" ht="90" hidden="1" x14ac:dyDescent="0.25">
      <c r="A341" s="35">
        <v>364</v>
      </c>
      <c r="B341" s="92">
        <v>5</v>
      </c>
      <c r="C341" s="92">
        <v>97</v>
      </c>
      <c r="D341" s="35" t="s">
        <v>3689</v>
      </c>
      <c r="E341" s="35" t="s">
        <v>2067</v>
      </c>
      <c r="F341" s="35" t="s">
        <v>2068</v>
      </c>
      <c r="G341" s="35" t="s">
        <v>2069</v>
      </c>
      <c r="H341" s="35" t="s">
        <v>2070</v>
      </c>
      <c r="I341" s="35" t="s">
        <v>2071</v>
      </c>
      <c r="J341" s="35" t="s">
        <v>2069</v>
      </c>
      <c r="K341" s="35" t="s">
        <v>101</v>
      </c>
      <c r="L341" s="35" t="s">
        <v>2072</v>
      </c>
      <c r="M341" s="35" t="s">
        <v>72</v>
      </c>
      <c r="O341" s="35" t="s">
        <v>86</v>
      </c>
    </row>
    <row r="342" spans="1:15" ht="60" x14ac:dyDescent="0.25">
      <c r="A342" s="35">
        <v>365</v>
      </c>
      <c r="B342" s="92">
        <v>1</v>
      </c>
      <c r="C342" s="92">
        <v>39</v>
      </c>
      <c r="D342" s="35" t="s">
        <v>73</v>
      </c>
      <c r="E342" s="35" t="s">
        <v>2073</v>
      </c>
      <c r="F342" s="35" t="s">
        <v>1815</v>
      </c>
      <c r="G342" s="35" t="s">
        <v>2074</v>
      </c>
      <c r="H342" s="35" t="s">
        <v>2075</v>
      </c>
      <c r="I342" s="95" t="s">
        <v>2076</v>
      </c>
      <c r="J342" s="35" t="s">
        <v>2075</v>
      </c>
      <c r="K342" s="35" t="s">
        <v>82</v>
      </c>
      <c r="L342" s="93" t="s">
        <v>2077</v>
      </c>
      <c r="M342" s="35" t="s">
        <v>72</v>
      </c>
      <c r="O342" s="35" t="s">
        <v>74</v>
      </c>
    </row>
    <row r="343" spans="1:15" ht="120" hidden="1" x14ac:dyDescent="0.25">
      <c r="A343" s="35">
        <v>366</v>
      </c>
      <c r="B343" s="92">
        <v>5</v>
      </c>
      <c r="C343" s="92">
        <v>98</v>
      </c>
      <c r="D343" s="35" t="s">
        <v>3689</v>
      </c>
      <c r="E343" s="35" t="s">
        <v>2078</v>
      </c>
      <c r="F343" s="35" t="s">
        <v>2079</v>
      </c>
      <c r="G343" s="35" t="s">
        <v>2080</v>
      </c>
      <c r="H343" s="35" t="s">
        <v>2081</v>
      </c>
      <c r="I343" s="35" t="s">
        <v>2082</v>
      </c>
      <c r="J343" s="35" t="s">
        <v>2081</v>
      </c>
      <c r="K343" s="35" t="s">
        <v>82</v>
      </c>
      <c r="L343" s="35" t="s">
        <v>2083</v>
      </c>
      <c r="M343" s="35" t="s">
        <v>536</v>
      </c>
      <c r="O343" s="35" t="s">
        <v>86</v>
      </c>
    </row>
    <row r="344" spans="1:15" ht="120" hidden="1" x14ac:dyDescent="0.25">
      <c r="A344" s="35">
        <v>367</v>
      </c>
      <c r="B344" s="92">
        <v>3</v>
      </c>
      <c r="C344" s="92">
        <v>103</v>
      </c>
      <c r="D344" s="35" t="s">
        <v>73</v>
      </c>
      <c r="E344" s="35" t="s">
        <v>2084</v>
      </c>
      <c r="F344" s="35" t="s">
        <v>2085</v>
      </c>
      <c r="G344" s="35" t="s">
        <v>2086</v>
      </c>
      <c r="H344" s="35" t="s">
        <v>2087</v>
      </c>
      <c r="I344" s="35" t="s">
        <v>2088</v>
      </c>
      <c r="J344" s="35" t="s">
        <v>2088</v>
      </c>
      <c r="K344" s="35" t="s">
        <v>114</v>
      </c>
      <c r="L344" s="35" t="s">
        <v>2089</v>
      </c>
      <c r="M344" s="35" t="s">
        <v>536</v>
      </c>
      <c r="O344" s="35" t="s">
        <v>74</v>
      </c>
    </row>
    <row r="345" spans="1:15" ht="60" hidden="1" x14ac:dyDescent="0.25">
      <c r="A345" s="35">
        <v>368</v>
      </c>
      <c r="B345" s="92">
        <v>3</v>
      </c>
      <c r="C345" s="92">
        <v>104</v>
      </c>
      <c r="D345" s="35" t="s">
        <v>73</v>
      </c>
      <c r="E345" s="35" t="s">
        <v>2090</v>
      </c>
      <c r="F345" s="35" t="s">
        <v>2091</v>
      </c>
      <c r="G345" s="35" t="s">
        <v>2092</v>
      </c>
      <c r="H345" s="35" t="s">
        <v>2093</v>
      </c>
      <c r="I345" s="35" t="s">
        <v>2094</v>
      </c>
      <c r="J345" s="35" t="s">
        <v>2091</v>
      </c>
      <c r="K345" s="35" t="s">
        <v>69</v>
      </c>
      <c r="L345" s="35" t="s">
        <v>2095</v>
      </c>
      <c r="M345" s="35" t="s">
        <v>536</v>
      </c>
      <c r="O345" s="35" t="s">
        <v>86</v>
      </c>
    </row>
    <row r="346" spans="1:15" ht="90" hidden="1" x14ac:dyDescent="0.25">
      <c r="A346" s="35">
        <v>369</v>
      </c>
      <c r="B346" s="92">
        <v>5</v>
      </c>
      <c r="C346" s="92">
        <v>99</v>
      </c>
      <c r="D346" s="35" t="s">
        <v>3689</v>
      </c>
      <c r="E346" s="35" t="s">
        <v>2096</v>
      </c>
      <c r="F346" s="35" t="s">
        <v>396</v>
      </c>
      <c r="G346" s="35" t="s">
        <v>2097</v>
      </c>
      <c r="H346" s="35" t="s">
        <v>1031</v>
      </c>
      <c r="I346" s="35" t="s">
        <v>2098</v>
      </c>
      <c r="J346" s="35" t="s">
        <v>2097</v>
      </c>
      <c r="K346" s="35" t="s">
        <v>101</v>
      </c>
      <c r="L346" s="35" t="s">
        <v>2099</v>
      </c>
      <c r="M346" s="35" t="s">
        <v>536</v>
      </c>
      <c r="O346" s="35" t="s">
        <v>86</v>
      </c>
    </row>
    <row r="347" spans="1:15" ht="75" hidden="1" x14ac:dyDescent="0.25">
      <c r="A347" s="35">
        <v>370</v>
      </c>
      <c r="B347" s="92">
        <v>5</v>
      </c>
      <c r="C347" s="92">
        <v>100</v>
      </c>
      <c r="D347" s="35" t="s">
        <v>3689</v>
      </c>
      <c r="E347" s="35" t="s">
        <v>2100</v>
      </c>
      <c r="F347" s="35" t="s">
        <v>2101</v>
      </c>
      <c r="G347" s="35" t="s">
        <v>2102</v>
      </c>
      <c r="H347" s="35" t="s">
        <v>2103</v>
      </c>
      <c r="I347" s="35" t="s">
        <v>2104</v>
      </c>
      <c r="J347" s="35" t="s">
        <v>2102</v>
      </c>
      <c r="K347" s="35" t="s">
        <v>101</v>
      </c>
      <c r="L347" s="35" t="s">
        <v>2105</v>
      </c>
      <c r="M347" s="35" t="s">
        <v>84</v>
      </c>
      <c r="N347" s="35" t="s">
        <v>1588</v>
      </c>
      <c r="O347" s="35" t="s">
        <v>86</v>
      </c>
    </row>
    <row r="348" spans="1:15" ht="75" hidden="1" x14ac:dyDescent="0.25">
      <c r="A348" s="35">
        <v>371</v>
      </c>
      <c r="B348" s="92">
        <v>4</v>
      </c>
      <c r="C348" s="92">
        <v>3</v>
      </c>
      <c r="D348" s="35" t="s">
        <v>73</v>
      </c>
      <c r="E348" s="35" t="s">
        <v>2106</v>
      </c>
      <c r="F348" s="35" t="s">
        <v>2107</v>
      </c>
      <c r="G348" s="35" t="s">
        <v>2108</v>
      </c>
      <c r="H348" s="35" t="s">
        <v>2109</v>
      </c>
      <c r="I348" s="35" t="s">
        <v>2110</v>
      </c>
      <c r="J348" s="35" t="s">
        <v>2107</v>
      </c>
      <c r="K348" s="35" t="s">
        <v>69</v>
      </c>
      <c r="L348" s="35" t="s">
        <v>2111</v>
      </c>
      <c r="M348" s="35" t="s">
        <v>84</v>
      </c>
      <c r="N348" s="35" t="s">
        <v>1588</v>
      </c>
      <c r="O348" s="35" t="s">
        <v>86</v>
      </c>
    </row>
    <row r="349" spans="1:15" ht="120" hidden="1" x14ac:dyDescent="0.25">
      <c r="A349" s="35">
        <v>372</v>
      </c>
      <c r="B349" s="92">
        <v>3</v>
      </c>
      <c r="C349" s="92">
        <v>105</v>
      </c>
      <c r="D349" s="35" t="s">
        <v>73</v>
      </c>
      <c r="E349" s="35" t="s">
        <v>2112</v>
      </c>
      <c r="F349" s="35" t="s">
        <v>2113</v>
      </c>
      <c r="G349" s="35" t="s">
        <v>2114</v>
      </c>
      <c r="H349" s="35" t="s">
        <v>2115</v>
      </c>
      <c r="I349" s="35" t="s">
        <v>2116</v>
      </c>
      <c r="J349" s="35" t="s">
        <v>2114</v>
      </c>
      <c r="K349" s="35" t="s">
        <v>101</v>
      </c>
      <c r="L349" s="35" t="s">
        <v>2117</v>
      </c>
      <c r="M349" s="35" t="s">
        <v>536</v>
      </c>
      <c r="O349" s="35" t="s">
        <v>86</v>
      </c>
    </row>
    <row r="350" spans="1:15" ht="75" hidden="1" x14ac:dyDescent="0.25">
      <c r="A350" s="35">
        <v>373</v>
      </c>
      <c r="B350" s="92">
        <v>2</v>
      </c>
      <c r="C350" s="92">
        <v>102</v>
      </c>
      <c r="D350" s="35" t="s">
        <v>73</v>
      </c>
      <c r="E350" s="35" t="s">
        <v>2118</v>
      </c>
      <c r="F350" s="35" t="s">
        <v>377</v>
      </c>
      <c r="G350" s="35" t="s">
        <v>2119</v>
      </c>
      <c r="H350" s="35" t="s">
        <v>2120</v>
      </c>
      <c r="I350" s="35" t="s">
        <v>2121</v>
      </c>
      <c r="J350" s="35" t="s">
        <v>2121</v>
      </c>
      <c r="K350" s="35" t="s">
        <v>114</v>
      </c>
      <c r="L350" s="35" t="s">
        <v>2122</v>
      </c>
      <c r="M350" s="35" t="s">
        <v>95</v>
      </c>
      <c r="O350" s="35" t="s">
        <v>74</v>
      </c>
    </row>
    <row r="351" spans="1:15" ht="150" hidden="1" x14ac:dyDescent="0.25">
      <c r="A351" s="35">
        <v>374</v>
      </c>
      <c r="B351" s="92">
        <v>3</v>
      </c>
      <c r="C351" s="92">
        <v>106</v>
      </c>
      <c r="D351" s="35" t="s">
        <v>73</v>
      </c>
      <c r="E351" s="35" t="s">
        <v>2123</v>
      </c>
      <c r="F351" s="35" t="s">
        <v>2124</v>
      </c>
      <c r="G351" s="35" t="s">
        <v>2125</v>
      </c>
      <c r="H351" s="35" t="s">
        <v>2126</v>
      </c>
      <c r="I351" s="35" t="s">
        <v>2127</v>
      </c>
      <c r="J351" s="35" t="s">
        <v>2126</v>
      </c>
      <c r="K351" s="35" t="s">
        <v>82</v>
      </c>
      <c r="L351" s="35" t="s">
        <v>2128</v>
      </c>
      <c r="M351" s="35" t="s">
        <v>536</v>
      </c>
      <c r="O351" s="35" t="s">
        <v>86</v>
      </c>
    </row>
    <row r="352" spans="1:15" ht="75" hidden="1" x14ac:dyDescent="0.25">
      <c r="A352" s="35">
        <v>375</v>
      </c>
      <c r="B352" s="92">
        <v>2</v>
      </c>
      <c r="C352" s="92">
        <v>103</v>
      </c>
      <c r="D352" s="35" t="s">
        <v>73</v>
      </c>
      <c r="E352" s="35" t="s">
        <v>2129</v>
      </c>
      <c r="F352" s="35" t="s">
        <v>2130</v>
      </c>
      <c r="G352" s="35" t="s">
        <v>2131</v>
      </c>
      <c r="H352" s="35" t="s">
        <v>2132</v>
      </c>
      <c r="I352" s="35" t="s">
        <v>2133</v>
      </c>
      <c r="J352" s="35" t="s">
        <v>2131</v>
      </c>
      <c r="K352" s="35" t="s">
        <v>101</v>
      </c>
      <c r="L352" s="35" t="s">
        <v>2134</v>
      </c>
      <c r="M352" s="35" t="s">
        <v>95</v>
      </c>
      <c r="O352" s="35" t="s">
        <v>74</v>
      </c>
    </row>
    <row r="353" spans="1:15" ht="60" hidden="1" x14ac:dyDescent="0.25">
      <c r="A353" s="35">
        <v>376</v>
      </c>
      <c r="B353" s="92">
        <v>5</v>
      </c>
      <c r="C353" s="92">
        <v>101</v>
      </c>
      <c r="D353" s="35" t="s">
        <v>3689</v>
      </c>
      <c r="E353" s="35" t="s">
        <v>2135</v>
      </c>
      <c r="F353" s="35" t="s">
        <v>2136</v>
      </c>
      <c r="G353" s="35" t="s">
        <v>2137</v>
      </c>
      <c r="H353" s="35" t="s">
        <v>2138</v>
      </c>
      <c r="I353" s="35" t="s">
        <v>2139</v>
      </c>
      <c r="J353" s="35" t="s">
        <v>2139</v>
      </c>
      <c r="K353" s="35" t="s">
        <v>114</v>
      </c>
      <c r="L353" s="35" t="s">
        <v>2140</v>
      </c>
      <c r="M353" s="35" t="s">
        <v>95</v>
      </c>
      <c r="O353" s="35" t="s">
        <v>74</v>
      </c>
    </row>
    <row r="354" spans="1:15" ht="120" x14ac:dyDescent="0.25">
      <c r="A354" s="35">
        <v>377</v>
      </c>
      <c r="B354" s="92">
        <v>1</v>
      </c>
      <c r="C354" s="92">
        <v>40</v>
      </c>
      <c r="D354" s="35" t="s">
        <v>73</v>
      </c>
      <c r="E354" s="35" t="s">
        <v>2141</v>
      </c>
      <c r="F354" s="35" t="s">
        <v>2142</v>
      </c>
      <c r="G354" s="35" t="s">
        <v>2143</v>
      </c>
      <c r="H354" s="35" t="s">
        <v>2144</v>
      </c>
      <c r="I354" s="35" t="s">
        <v>2145</v>
      </c>
      <c r="J354" s="35" t="s">
        <v>2145</v>
      </c>
      <c r="K354" s="35" t="s">
        <v>114</v>
      </c>
      <c r="L354" s="35" t="s">
        <v>2146</v>
      </c>
      <c r="M354" s="35" t="s">
        <v>72</v>
      </c>
      <c r="O354" s="35" t="s">
        <v>86</v>
      </c>
    </row>
    <row r="355" spans="1:15" ht="120" hidden="1" x14ac:dyDescent="0.25">
      <c r="A355" s="35">
        <v>378</v>
      </c>
      <c r="B355" s="92">
        <v>3</v>
      </c>
      <c r="C355" s="92">
        <v>107</v>
      </c>
      <c r="D355" s="35" t="s">
        <v>73</v>
      </c>
      <c r="E355" s="35" t="s">
        <v>2147</v>
      </c>
      <c r="F355" s="35" t="s">
        <v>2148</v>
      </c>
      <c r="G355" s="35" t="s">
        <v>2149</v>
      </c>
      <c r="H355" s="35" t="s">
        <v>2150</v>
      </c>
      <c r="I355" s="35" t="s">
        <v>2151</v>
      </c>
      <c r="J355" s="35" t="s">
        <v>2148</v>
      </c>
      <c r="K355" s="35" t="s">
        <v>69</v>
      </c>
      <c r="L355" s="35" t="s">
        <v>2152</v>
      </c>
      <c r="M355" s="35" t="s">
        <v>536</v>
      </c>
      <c r="O355" s="35" t="s">
        <v>74</v>
      </c>
    </row>
    <row r="356" spans="1:15" ht="105" hidden="1" x14ac:dyDescent="0.25">
      <c r="A356" s="35">
        <v>380</v>
      </c>
      <c r="B356" s="92">
        <v>3</v>
      </c>
      <c r="C356" s="92">
        <v>108</v>
      </c>
      <c r="D356" s="35" t="s">
        <v>73</v>
      </c>
      <c r="E356" s="35" t="s">
        <v>2153</v>
      </c>
      <c r="F356" s="35" t="s">
        <v>2154</v>
      </c>
      <c r="G356" s="35" t="s">
        <v>2155</v>
      </c>
      <c r="H356" s="35" t="s">
        <v>2156</v>
      </c>
      <c r="I356" s="35" t="s">
        <v>2157</v>
      </c>
      <c r="J356" s="35" t="s">
        <v>2155</v>
      </c>
      <c r="K356" s="35" t="s">
        <v>101</v>
      </c>
      <c r="L356" s="35" t="s">
        <v>2158</v>
      </c>
      <c r="M356" s="35" t="s">
        <v>536</v>
      </c>
      <c r="O356" s="35" t="s">
        <v>122</v>
      </c>
    </row>
    <row r="357" spans="1:15" ht="90" hidden="1" x14ac:dyDescent="0.25">
      <c r="A357" s="35">
        <v>382</v>
      </c>
      <c r="B357" s="92">
        <v>5</v>
      </c>
      <c r="C357" s="92">
        <v>102</v>
      </c>
      <c r="D357" s="35" t="s">
        <v>3689</v>
      </c>
      <c r="E357" s="35" t="s">
        <v>2159</v>
      </c>
      <c r="F357" s="35" t="s">
        <v>2160</v>
      </c>
      <c r="G357" s="35" t="s">
        <v>2161</v>
      </c>
      <c r="H357" s="35" t="s">
        <v>2162</v>
      </c>
      <c r="I357" s="35" t="s">
        <v>2163</v>
      </c>
      <c r="J357" s="35" t="s">
        <v>2162</v>
      </c>
      <c r="K357" s="35" t="s">
        <v>82</v>
      </c>
      <c r="L357" s="35" t="s">
        <v>2164</v>
      </c>
      <c r="M357" s="35" t="s">
        <v>536</v>
      </c>
      <c r="O357" s="35" t="s">
        <v>74</v>
      </c>
    </row>
    <row r="358" spans="1:15" ht="120" hidden="1" x14ac:dyDescent="0.25">
      <c r="A358" s="35">
        <v>383</v>
      </c>
      <c r="B358" s="92">
        <v>3</v>
      </c>
      <c r="C358" s="92">
        <v>109</v>
      </c>
      <c r="D358" s="35" t="s">
        <v>73</v>
      </c>
      <c r="E358" s="35" t="s">
        <v>2165</v>
      </c>
      <c r="F358" s="35" t="s">
        <v>2166</v>
      </c>
      <c r="G358" s="35" t="s">
        <v>2167</v>
      </c>
      <c r="H358" s="35" t="s">
        <v>2168</v>
      </c>
      <c r="I358" s="35" t="s">
        <v>2169</v>
      </c>
      <c r="J358" s="35" t="s">
        <v>2167</v>
      </c>
      <c r="K358" s="35" t="s">
        <v>101</v>
      </c>
      <c r="L358" s="35" t="s">
        <v>2170</v>
      </c>
      <c r="M358" s="35" t="s">
        <v>536</v>
      </c>
      <c r="O358" s="35" t="s">
        <v>122</v>
      </c>
    </row>
    <row r="359" spans="1:15" ht="90" hidden="1" x14ac:dyDescent="0.25">
      <c r="A359" s="35">
        <v>384</v>
      </c>
      <c r="B359" s="92">
        <v>3</v>
      </c>
      <c r="C359" s="92">
        <v>110</v>
      </c>
      <c r="D359" s="35" t="s">
        <v>73</v>
      </c>
      <c r="E359" s="35" t="s">
        <v>2171</v>
      </c>
      <c r="F359" s="35" t="s">
        <v>2172</v>
      </c>
      <c r="G359" s="35" t="s">
        <v>2173</v>
      </c>
      <c r="H359" s="35" t="s">
        <v>2174</v>
      </c>
      <c r="I359" s="35" t="s">
        <v>2175</v>
      </c>
      <c r="J359" s="35" t="s">
        <v>2173</v>
      </c>
      <c r="K359" s="35" t="s">
        <v>101</v>
      </c>
      <c r="L359" s="35" t="s">
        <v>2176</v>
      </c>
      <c r="M359" s="35" t="s">
        <v>536</v>
      </c>
      <c r="O359" s="35" t="s">
        <v>74</v>
      </c>
    </row>
    <row r="360" spans="1:15" ht="45" hidden="1" x14ac:dyDescent="0.25">
      <c r="A360" s="35">
        <v>385</v>
      </c>
      <c r="B360" s="92">
        <v>2</v>
      </c>
      <c r="C360" s="92">
        <v>104</v>
      </c>
      <c r="D360" s="35" t="s">
        <v>73</v>
      </c>
      <c r="E360" s="35" t="s">
        <v>2177</v>
      </c>
      <c r="F360" s="35" t="s">
        <v>2178</v>
      </c>
      <c r="G360" s="35" t="s">
        <v>2179</v>
      </c>
      <c r="H360" s="35" t="s">
        <v>2180</v>
      </c>
      <c r="I360" s="35" t="s">
        <v>2181</v>
      </c>
      <c r="J360" s="35" t="s">
        <v>2181</v>
      </c>
      <c r="K360" s="35" t="s">
        <v>114</v>
      </c>
      <c r="L360" s="35" t="s">
        <v>2182</v>
      </c>
      <c r="M360" s="35" t="s">
        <v>95</v>
      </c>
      <c r="O360" s="35" t="s">
        <v>74</v>
      </c>
    </row>
    <row r="361" spans="1:15" ht="60" hidden="1" x14ac:dyDescent="0.25">
      <c r="A361" s="35">
        <v>386</v>
      </c>
      <c r="B361" s="92">
        <v>2</v>
      </c>
      <c r="C361" s="92">
        <v>105</v>
      </c>
      <c r="D361" s="35" t="s">
        <v>73</v>
      </c>
      <c r="E361" s="35" t="s">
        <v>2183</v>
      </c>
      <c r="F361" s="35" t="s">
        <v>2184</v>
      </c>
      <c r="G361" s="35" t="s">
        <v>2185</v>
      </c>
      <c r="H361" s="35" t="s">
        <v>2186</v>
      </c>
      <c r="I361" s="35" t="s">
        <v>2187</v>
      </c>
      <c r="J361" s="35" t="s">
        <v>2186</v>
      </c>
      <c r="K361" s="35" t="s">
        <v>82</v>
      </c>
      <c r="L361" s="35" t="s">
        <v>2188</v>
      </c>
      <c r="M361" s="35" t="s">
        <v>95</v>
      </c>
      <c r="O361" s="35" t="s">
        <v>74</v>
      </c>
    </row>
    <row r="362" spans="1:15" ht="90" hidden="1" x14ac:dyDescent="0.25">
      <c r="A362" s="35">
        <v>387</v>
      </c>
      <c r="B362" s="92">
        <v>5</v>
      </c>
      <c r="C362" s="92">
        <v>103</v>
      </c>
      <c r="D362" s="35" t="s">
        <v>3689</v>
      </c>
      <c r="E362" s="35" t="s">
        <v>2189</v>
      </c>
      <c r="F362" s="35" t="s">
        <v>2190</v>
      </c>
      <c r="G362" s="35" t="s">
        <v>2191</v>
      </c>
      <c r="H362" s="35" t="s">
        <v>2192</v>
      </c>
      <c r="I362" s="35" t="s">
        <v>2193</v>
      </c>
      <c r="J362" s="35" t="s">
        <v>2191</v>
      </c>
      <c r="K362" s="35" t="s">
        <v>101</v>
      </c>
      <c r="L362" s="35" t="s">
        <v>2194</v>
      </c>
      <c r="M362" s="35" t="s">
        <v>95</v>
      </c>
      <c r="O362" s="35" t="s">
        <v>74</v>
      </c>
    </row>
    <row r="363" spans="1:15" ht="120" hidden="1" x14ac:dyDescent="0.25">
      <c r="A363" s="35">
        <v>388</v>
      </c>
      <c r="B363" s="92">
        <v>2</v>
      </c>
      <c r="C363" s="92">
        <v>106</v>
      </c>
      <c r="D363" s="35" t="s">
        <v>73</v>
      </c>
      <c r="E363" s="35" t="s">
        <v>2195</v>
      </c>
      <c r="F363" s="35" t="s">
        <v>343</v>
      </c>
      <c r="G363" s="35" t="s">
        <v>2196</v>
      </c>
      <c r="H363" s="35" t="s">
        <v>2197</v>
      </c>
      <c r="I363" s="35" t="s">
        <v>2198</v>
      </c>
      <c r="J363" s="35" t="s">
        <v>343</v>
      </c>
      <c r="K363" s="35" t="s">
        <v>69</v>
      </c>
      <c r="L363" s="35" t="s">
        <v>2199</v>
      </c>
      <c r="M363" s="35" t="s">
        <v>95</v>
      </c>
      <c r="O363" s="35" t="s">
        <v>74</v>
      </c>
    </row>
    <row r="364" spans="1:15" ht="90" hidden="1" x14ac:dyDescent="0.25">
      <c r="A364" s="35">
        <v>389</v>
      </c>
      <c r="B364" s="92">
        <v>5</v>
      </c>
      <c r="C364" s="92">
        <v>104</v>
      </c>
      <c r="D364" s="35" t="s">
        <v>3689</v>
      </c>
      <c r="E364" s="35" t="s">
        <v>2200</v>
      </c>
      <c r="F364" s="35" t="s">
        <v>2201</v>
      </c>
      <c r="G364" s="35" t="s">
        <v>2202</v>
      </c>
      <c r="H364" s="35" t="s">
        <v>2203</v>
      </c>
      <c r="I364" s="35" t="s">
        <v>2204</v>
      </c>
      <c r="J364" s="35" t="s">
        <v>2202</v>
      </c>
      <c r="K364" s="35" t="s">
        <v>101</v>
      </c>
      <c r="L364" s="35" t="s">
        <v>2205</v>
      </c>
      <c r="M364" s="35" t="s">
        <v>95</v>
      </c>
      <c r="O364" s="35" t="s">
        <v>74</v>
      </c>
    </row>
    <row r="365" spans="1:15" ht="75" hidden="1" x14ac:dyDescent="0.25">
      <c r="A365" s="35">
        <v>390</v>
      </c>
      <c r="B365" s="92">
        <v>3</v>
      </c>
      <c r="C365" s="92">
        <v>111</v>
      </c>
      <c r="D365" s="35" t="s">
        <v>73</v>
      </c>
      <c r="E365" s="35" t="s">
        <v>2206</v>
      </c>
      <c r="F365" s="35" t="s">
        <v>2207</v>
      </c>
      <c r="G365" s="35" t="s">
        <v>2208</v>
      </c>
      <c r="H365" s="35" t="s">
        <v>2209</v>
      </c>
      <c r="I365" s="35" t="s">
        <v>2210</v>
      </c>
      <c r="J365" s="35" t="s">
        <v>2209</v>
      </c>
      <c r="K365" s="35" t="s">
        <v>82</v>
      </c>
      <c r="L365" s="35" t="s">
        <v>2211</v>
      </c>
      <c r="M365" s="35" t="s">
        <v>536</v>
      </c>
      <c r="O365" s="35" t="s">
        <v>74</v>
      </c>
    </row>
    <row r="366" spans="1:15" ht="105" x14ac:dyDescent="0.25">
      <c r="A366" s="35">
        <v>391</v>
      </c>
      <c r="B366" s="92">
        <v>1</v>
      </c>
      <c r="C366" s="92">
        <v>41</v>
      </c>
      <c r="D366" s="35" t="s">
        <v>73</v>
      </c>
      <c r="E366" s="35" t="s">
        <v>2212</v>
      </c>
      <c r="F366" s="35" t="s">
        <v>2213</v>
      </c>
      <c r="G366" s="35" t="s">
        <v>2214</v>
      </c>
      <c r="H366" s="35" t="s">
        <v>2215</v>
      </c>
      <c r="I366" s="35" t="s">
        <v>2216</v>
      </c>
      <c r="J366" s="35" t="s">
        <v>2215</v>
      </c>
      <c r="K366" s="35" t="s">
        <v>82</v>
      </c>
      <c r="L366" s="35" t="s">
        <v>2217</v>
      </c>
      <c r="M366" s="35" t="s">
        <v>72</v>
      </c>
      <c r="O366" s="35" t="s">
        <v>74</v>
      </c>
    </row>
    <row r="367" spans="1:15" ht="105" x14ac:dyDescent="0.25">
      <c r="A367" s="35">
        <v>393</v>
      </c>
      <c r="B367" s="92">
        <v>1</v>
      </c>
      <c r="C367" s="92">
        <v>42</v>
      </c>
      <c r="D367" s="35" t="s">
        <v>73</v>
      </c>
      <c r="E367" s="35" t="s">
        <v>2218</v>
      </c>
      <c r="F367" s="35" t="s">
        <v>2219</v>
      </c>
      <c r="G367" s="35" t="s">
        <v>2220</v>
      </c>
      <c r="H367" s="35" t="s">
        <v>2221</v>
      </c>
      <c r="I367" s="35" t="s">
        <v>2222</v>
      </c>
      <c r="J367" s="35" t="s">
        <v>2221</v>
      </c>
      <c r="K367" s="35" t="s">
        <v>82</v>
      </c>
      <c r="L367" s="35" t="s">
        <v>2223</v>
      </c>
      <c r="M367" s="35" t="s">
        <v>72</v>
      </c>
      <c r="O367" s="35" t="s">
        <v>86</v>
      </c>
    </row>
    <row r="368" spans="1:15" ht="30" x14ac:dyDescent="0.25">
      <c r="A368" s="35">
        <v>395</v>
      </c>
      <c r="B368" s="92">
        <v>1</v>
      </c>
      <c r="C368" s="92">
        <v>43</v>
      </c>
      <c r="D368" s="35" t="s">
        <v>73</v>
      </c>
      <c r="E368" s="35" t="s">
        <v>2224</v>
      </c>
      <c r="F368" s="35" t="s">
        <v>2225</v>
      </c>
      <c r="G368" s="35" t="s">
        <v>2226</v>
      </c>
      <c r="H368" s="35" t="s">
        <v>2227</v>
      </c>
      <c r="I368" s="35" t="s">
        <v>2228</v>
      </c>
      <c r="J368" s="35" t="s">
        <v>2225</v>
      </c>
      <c r="K368" s="35" t="s">
        <v>69</v>
      </c>
      <c r="L368" s="35" t="s">
        <v>2229</v>
      </c>
      <c r="M368" s="35" t="s">
        <v>72</v>
      </c>
      <c r="O368" s="35" t="s">
        <v>74</v>
      </c>
    </row>
    <row r="369" spans="1:15" ht="60" hidden="1" x14ac:dyDescent="0.25">
      <c r="A369" s="35">
        <v>396</v>
      </c>
      <c r="B369" s="92">
        <v>5</v>
      </c>
      <c r="C369" s="92">
        <v>105</v>
      </c>
      <c r="D369" s="35" t="s">
        <v>3689</v>
      </c>
      <c r="E369" s="35" t="s">
        <v>2230</v>
      </c>
      <c r="F369" s="95" t="s">
        <v>2076</v>
      </c>
      <c r="G369" s="95" t="s">
        <v>2231</v>
      </c>
      <c r="H369" s="95" t="s">
        <v>2232</v>
      </c>
      <c r="I369" s="95" t="s">
        <v>2233</v>
      </c>
      <c r="J369" s="95" t="s">
        <v>2076</v>
      </c>
      <c r="K369" s="35" t="s">
        <v>69</v>
      </c>
      <c r="L369" s="93" t="s">
        <v>2234</v>
      </c>
      <c r="M369" s="35" t="s">
        <v>72</v>
      </c>
      <c r="O369" s="35" t="s">
        <v>74</v>
      </c>
    </row>
    <row r="370" spans="1:15" ht="45" x14ac:dyDescent="0.25">
      <c r="A370" s="35">
        <v>397</v>
      </c>
      <c r="B370" s="92">
        <v>1</v>
      </c>
      <c r="C370" s="92">
        <v>44</v>
      </c>
      <c r="D370" s="35" t="s">
        <v>73</v>
      </c>
      <c r="E370" s="35" t="s">
        <v>2235</v>
      </c>
      <c r="F370" s="35" t="s">
        <v>2236</v>
      </c>
      <c r="G370" s="35" t="s">
        <v>2237</v>
      </c>
      <c r="H370" s="35" t="s">
        <v>1359</v>
      </c>
      <c r="I370" s="35" t="s">
        <v>2238</v>
      </c>
      <c r="J370" s="35" t="s">
        <v>2236</v>
      </c>
      <c r="K370" s="35" t="s">
        <v>69</v>
      </c>
      <c r="L370" s="35" t="s">
        <v>2239</v>
      </c>
      <c r="M370" s="35" t="s">
        <v>72</v>
      </c>
      <c r="O370" s="35" t="s">
        <v>74</v>
      </c>
    </row>
    <row r="371" spans="1:15" ht="90" hidden="1" x14ac:dyDescent="0.25">
      <c r="A371" s="35">
        <v>398</v>
      </c>
      <c r="B371" s="92">
        <v>3</v>
      </c>
      <c r="C371" s="92">
        <v>112</v>
      </c>
      <c r="D371" s="35" t="s">
        <v>73</v>
      </c>
      <c r="E371" s="35" t="s">
        <v>2240</v>
      </c>
      <c r="F371" s="35" t="s">
        <v>2241</v>
      </c>
      <c r="G371" s="35" t="s">
        <v>2242</v>
      </c>
      <c r="H371" s="35" t="s">
        <v>2243</v>
      </c>
      <c r="I371" s="35" t="s">
        <v>2244</v>
      </c>
      <c r="J371" s="35" t="s">
        <v>2243</v>
      </c>
      <c r="K371" s="35" t="s">
        <v>82</v>
      </c>
      <c r="L371" s="35" t="s">
        <v>2245</v>
      </c>
      <c r="M371" s="35" t="s">
        <v>536</v>
      </c>
      <c r="O371" s="35" t="s">
        <v>86</v>
      </c>
    </row>
    <row r="372" spans="1:15" ht="120" hidden="1" x14ac:dyDescent="0.25">
      <c r="A372" s="35">
        <v>399</v>
      </c>
      <c r="B372" s="92">
        <v>5</v>
      </c>
      <c r="C372" s="92">
        <v>106</v>
      </c>
      <c r="D372" s="35" t="s">
        <v>3689</v>
      </c>
      <c r="E372" s="35" t="s">
        <v>2246</v>
      </c>
      <c r="F372" s="35" t="s">
        <v>2247</v>
      </c>
      <c r="G372" s="35" t="s">
        <v>2248</v>
      </c>
      <c r="H372" s="35" t="s">
        <v>2249</v>
      </c>
      <c r="I372" s="35" t="s">
        <v>2250</v>
      </c>
      <c r="J372" s="35" t="s">
        <v>2250</v>
      </c>
      <c r="K372" s="35" t="s">
        <v>114</v>
      </c>
      <c r="L372" s="35" t="s">
        <v>2251</v>
      </c>
      <c r="M372" s="35" t="s">
        <v>536</v>
      </c>
      <c r="O372" s="35" t="s">
        <v>86</v>
      </c>
    </row>
    <row r="373" spans="1:15" ht="120" hidden="1" x14ac:dyDescent="0.25">
      <c r="A373" s="35">
        <v>400</v>
      </c>
      <c r="B373" s="92">
        <v>5</v>
      </c>
      <c r="C373" s="92">
        <v>107</v>
      </c>
      <c r="D373" s="35" t="s">
        <v>3689</v>
      </c>
      <c r="E373" s="35" t="s">
        <v>2252</v>
      </c>
      <c r="F373" s="35" t="s">
        <v>2253</v>
      </c>
      <c r="G373" s="35" t="s">
        <v>2254</v>
      </c>
      <c r="H373" s="35" t="s">
        <v>2255</v>
      </c>
      <c r="I373" s="35" t="s">
        <v>2256</v>
      </c>
      <c r="J373" s="35" t="s">
        <v>2253</v>
      </c>
      <c r="K373" s="35" t="s">
        <v>69</v>
      </c>
      <c r="L373" s="35" t="s">
        <v>2257</v>
      </c>
      <c r="M373" s="35" t="s">
        <v>536</v>
      </c>
      <c r="O373" s="35" t="s">
        <v>86</v>
      </c>
    </row>
    <row r="374" spans="1:15" ht="90" hidden="1" x14ac:dyDescent="0.25">
      <c r="A374" s="35">
        <v>401</v>
      </c>
      <c r="B374" s="92">
        <v>2</v>
      </c>
      <c r="C374" s="92">
        <v>107</v>
      </c>
      <c r="D374" s="35" t="s">
        <v>73</v>
      </c>
      <c r="E374" s="35" t="s">
        <v>2258</v>
      </c>
      <c r="F374" s="35" t="s">
        <v>2259</v>
      </c>
      <c r="G374" s="35" t="s">
        <v>2260</v>
      </c>
      <c r="H374" s="35" t="s">
        <v>2261</v>
      </c>
      <c r="I374" s="35" t="s">
        <v>2262</v>
      </c>
      <c r="J374" s="35" t="s">
        <v>2262</v>
      </c>
      <c r="K374" s="35" t="s">
        <v>114</v>
      </c>
      <c r="L374" s="35" t="s">
        <v>2263</v>
      </c>
      <c r="M374" s="35" t="s">
        <v>95</v>
      </c>
      <c r="O374" s="35" t="s">
        <v>74</v>
      </c>
    </row>
    <row r="375" spans="1:15" ht="120" hidden="1" x14ac:dyDescent="0.25">
      <c r="A375" s="35">
        <v>402</v>
      </c>
      <c r="B375" s="92">
        <v>3</v>
      </c>
      <c r="C375" s="92">
        <v>113</v>
      </c>
      <c r="D375" s="35" t="s">
        <v>73</v>
      </c>
      <c r="E375" s="35" t="s">
        <v>2264</v>
      </c>
      <c r="F375" s="35" t="s">
        <v>2265</v>
      </c>
      <c r="G375" s="35" t="s">
        <v>2266</v>
      </c>
      <c r="H375" s="35" t="s">
        <v>2267</v>
      </c>
      <c r="I375" s="35" t="s">
        <v>2268</v>
      </c>
      <c r="J375" s="35" t="s">
        <v>2267</v>
      </c>
      <c r="K375" s="35" t="s">
        <v>82</v>
      </c>
      <c r="L375" s="35" t="s">
        <v>2269</v>
      </c>
      <c r="M375" s="35" t="s">
        <v>536</v>
      </c>
      <c r="O375" s="35" t="s">
        <v>86</v>
      </c>
    </row>
    <row r="376" spans="1:15" ht="45" hidden="1" x14ac:dyDescent="0.25">
      <c r="A376" s="35">
        <v>403</v>
      </c>
      <c r="B376" s="92">
        <v>4</v>
      </c>
      <c r="C376" s="92">
        <v>4</v>
      </c>
      <c r="D376" s="35" t="s">
        <v>73</v>
      </c>
      <c r="E376" s="35" t="s">
        <v>2270</v>
      </c>
      <c r="F376" s="35" t="s">
        <v>2271</v>
      </c>
      <c r="G376" s="35" t="s">
        <v>2272</v>
      </c>
      <c r="H376" s="35" t="s">
        <v>2273</v>
      </c>
      <c r="I376" s="35" t="s">
        <v>2274</v>
      </c>
      <c r="J376" s="35" t="s">
        <v>2274</v>
      </c>
      <c r="K376" s="35" t="s">
        <v>114</v>
      </c>
      <c r="L376" s="35" t="s">
        <v>2275</v>
      </c>
      <c r="M376" s="35" t="s">
        <v>84</v>
      </c>
      <c r="N376" s="35" t="s">
        <v>1588</v>
      </c>
      <c r="O376" s="35" t="s">
        <v>74</v>
      </c>
    </row>
    <row r="377" spans="1:15" ht="105" hidden="1" x14ac:dyDescent="0.25">
      <c r="A377" s="35">
        <v>404</v>
      </c>
      <c r="B377" s="92">
        <v>2</v>
      </c>
      <c r="C377" s="92">
        <v>108</v>
      </c>
      <c r="D377" s="35" t="s">
        <v>73</v>
      </c>
      <c r="E377" s="35" t="s">
        <v>2276</v>
      </c>
      <c r="F377" s="35" t="s">
        <v>2277</v>
      </c>
      <c r="G377" s="35" t="s">
        <v>2278</v>
      </c>
      <c r="H377" s="35" t="s">
        <v>2279</v>
      </c>
      <c r="I377" s="35" t="s">
        <v>2280</v>
      </c>
      <c r="J377" s="35" t="s">
        <v>2277</v>
      </c>
      <c r="K377" s="35" t="s">
        <v>69</v>
      </c>
      <c r="L377" s="35" t="s">
        <v>2281</v>
      </c>
      <c r="M377" s="35" t="s">
        <v>95</v>
      </c>
      <c r="O377" s="35" t="s">
        <v>122</v>
      </c>
    </row>
    <row r="378" spans="1:15" ht="75" hidden="1" x14ac:dyDescent="0.25">
      <c r="A378" s="35">
        <v>405</v>
      </c>
      <c r="B378" s="92">
        <v>5</v>
      </c>
      <c r="C378" s="92">
        <v>108</v>
      </c>
      <c r="D378" s="35" t="s">
        <v>3689</v>
      </c>
      <c r="E378" s="35" t="s">
        <v>2282</v>
      </c>
      <c r="F378" s="35" t="s">
        <v>2283</v>
      </c>
      <c r="G378" s="35" t="s">
        <v>2284</v>
      </c>
      <c r="H378" s="35" t="s">
        <v>2285</v>
      </c>
      <c r="I378" s="35" t="s">
        <v>2286</v>
      </c>
      <c r="J378" s="35" t="s">
        <v>2283</v>
      </c>
      <c r="K378" s="35" t="s">
        <v>69</v>
      </c>
      <c r="L378" s="35" t="s">
        <v>2287</v>
      </c>
      <c r="M378" s="35" t="s">
        <v>536</v>
      </c>
      <c r="O378" s="35" t="s">
        <v>86</v>
      </c>
    </row>
    <row r="379" spans="1:15" ht="120" hidden="1" x14ac:dyDescent="0.25">
      <c r="A379" s="35">
        <v>407</v>
      </c>
      <c r="B379" s="92">
        <v>5</v>
      </c>
      <c r="C379" s="92">
        <v>109</v>
      </c>
      <c r="D379" s="35" t="s">
        <v>3689</v>
      </c>
      <c r="E379" s="35" t="s">
        <v>2288</v>
      </c>
      <c r="F379" s="35" t="s">
        <v>2237</v>
      </c>
      <c r="G379" s="35" t="s">
        <v>637</v>
      </c>
      <c r="H379" s="35" t="s">
        <v>2289</v>
      </c>
      <c r="I379" s="35" t="s">
        <v>2290</v>
      </c>
      <c r="J379" s="35" t="s">
        <v>637</v>
      </c>
      <c r="K379" s="35" t="s">
        <v>101</v>
      </c>
      <c r="L379" s="35" t="s">
        <v>2291</v>
      </c>
      <c r="M379" s="35" t="s">
        <v>72</v>
      </c>
      <c r="O379" s="35" t="s">
        <v>74</v>
      </c>
    </row>
    <row r="380" spans="1:15" ht="90" hidden="1" x14ac:dyDescent="0.25">
      <c r="A380" s="35">
        <v>408</v>
      </c>
      <c r="B380" s="92">
        <v>5</v>
      </c>
      <c r="C380" s="92">
        <v>110</v>
      </c>
      <c r="D380" s="35" t="s">
        <v>3689</v>
      </c>
      <c r="E380" s="35" t="s">
        <v>2292</v>
      </c>
      <c r="F380" s="35" t="s">
        <v>2293</v>
      </c>
      <c r="G380" s="35" t="s">
        <v>2294</v>
      </c>
      <c r="H380" s="35" t="s">
        <v>2295</v>
      </c>
      <c r="I380" s="35" t="s">
        <v>2296</v>
      </c>
      <c r="J380" s="35" t="s">
        <v>2293</v>
      </c>
      <c r="K380" s="35" t="s">
        <v>69</v>
      </c>
      <c r="L380" s="35" t="s">
        <v>2297</v>
      </c>
      <c r="M380" s="35" t="s">
        <v>536</v>
      </c>
      <c r="O380" s="35" t="s">
        <v>74</v>
      </c>
    </row>
    <row r="381" spans="1:15" ht="45" hidden="1" x14ac:dyDescent="0.25">
      <c r="A381" s="35">
        <v>409</v>
      </c>
      <c r="B381" s="92">
        <v>2</v>
      </c>
      <c r="C381" s="92">
        <v>109</v>
      </c>
      <c r="D381" s="35" t="s">
        <v>73</v>
      </c>
      <c r="E381" s="35" t="s">
        <v>2298</v>
      </c>
      <c r="F381" s="35" t="s">
        <v>2299</v>
      </c>
      <c r="G381" s="35" t="s">
        <v>2300</v>
      </c>
      <c r="H381" s="35" t="s">
        <v>2301</v>
      </c>
      <c r="I381" s="35" t="s">
        <v>2302</v>
      </c>
      <c r="J381" s="35" t="s">
        <v>2302</v>
      </c>
      <c r="K381" s="35" t="s">
        <v>114</v>
      </c>
      <c r="L381" s="35" t="s">
        <v>2303</v>
      </c>
      <c r="M381" s="35" t="s">
        <v>95</v>
      </c>
      <c r="O381" s="35" t="s">
        <v>74</v>
      </c>
    </row>
    <row r="382" spans="1:15" ht="120" x14ac:dyDescent="0.25">
      <c r="A382" s="35">
        <v>410</v>
      </c>
      <c r="B382" s="92">
        <v>1</v>
      </c>
      <c r="C382" s="92">
        <v>45</v>
      </c>
      <c r="D382" s="35" t="s">
        <v>73</v>
      </c>
      <c r="E382" s="35" t="s">
        <v>2304</v>
      </c>
      <c r="F382" s="35" t="s">
        <v>2305</v>
      </c>
      <c r="G382" s="35" t="s">
        <v>2306</v>
      </c>
      <c r="H382" s="35" t="s">
        <v>2307</v>
      </c>
      <c r="I382" s="35" t="s">
        <v>2308</v>
      </c>
      <c r="J382" s="35" t="s">
        <v>2308</v>
      </c>
      <c r="K382" s="35" t="s">
        <v>114</v>
      </c>
      <c r="L382" s="35" t="s">
        <v>2309</v>
      </c>
      <c r="M382" s="35" t="s">
        <v>72</v>
      </c>
      <c r="O382" s="35" t="s">
        <v>74</v>
      </c>
    </row>
    <row r="383" spans="1:15" ht="60" hidden="1" x14ac:dyDescent="0.25">
      <c r="A383" s="35">
        <v>411</v>
      </c>
      <c r="B383" s="92">
        <v>3</v>
      </c>
      <c r="C383" s="92">
        <v>114</v>
      </c>
      <c r="D383" s="35" t="s">
        <v>73</v>
      </c>
      <c r="E383" s="35" t="s">
        <v>2310</v>
      </c>
      <c r="F383" s="35" t="s">
        <v>2311</v>
      </c>
      <c r="G383" s="35" t="s">
        <v>2312</v>
      </c>
      <c r="H383" s="35" t="s">
        <v>2313</v>
      </c>
      <c r="I383" s="35" t="s">
        <v>2314</v>
      </c>
      <c r="J383" s="35" t="s">
        <v>2311</v>
      </c>
      <c r="K383" s="35" t="s">
        <v>69</v>
      </c>
      <c r="L383" s="35" t="s">
        <v>2315</v>
      </c>
      <c r="M383" s="35" t="s">
        <v>536</v>
      </c>
      <c r="O383" s="35" t="s">
        <v>86</v>
      </c>
    </row>
    <row r="384" spans="1:15" ht="120" hidden="1" x14ac:dyDescent="0.25">
      <c r="A384" s="35">
        <v>412</v>
      </c>
      <c r="B384" s="92">
        <v>5</v>
      </c>
      <c r="C384" s="92">
        <v>111</v>
      </c>
      <c r="D384" s="35" t="s">
        <v>3689</v>
      </c>
      <c r="E384" s="35" t="s">
        <v>2316</v>
      </c>
      <c r="F384" s="35" t="s">
        <v>2317</v>
      </c>
      <c r="G384" s="35" t="s">
        <v>2318</v>
      </c>
      <c r="H384" s="35" t="s">
        <v>2319</v>
      </c>
      <c r="I384" s="35" t="s">
        <v>2320</v>
      </c>
      <c r="J384" s="35" t="s">
        <v>2318</v>
      </c>
      <c r="K384" s="35" t="s">
        <v>101</v>
      </c>
      <c r="L384" s="35" t="s">
        <v>2321</v>
      </c>
      <c r="M384" s="35" t="s">
        <v>536</v>
      </c>
      <c r="O384" s="35" t="s">
        <v>86</v>
      </c>
    </row>
    <row r="385" spans="1:15" ht="150" hidden="1" x14ac:dyDescent="0.25">
      <c r="A385" s="35">
        <v>413</v>
      </c>
      <c r="B385" s="92">
        <v>4</v>
      </c>
      <c r="C385" s="92">
        <v>5</v>
      </c>
      <c r="D385" s="35" t="s">
        <v>73</v>
      </c>
      <c r="E385" s="35" t="s">
        <v>2322</v>
      </c>
      <c r="F385" s="35" t="s">
        <v>2323</v>
      </c>
      <c r="G385" s="35" t="s">
        <v>2324</v>
      </c>
      <c r="H385" s="35" t="s">
        <v>2325</v>
      </c>
      <c r="I385" s="35" t="s">
        <v>2326</v>
      </c>
      <c r="J385" s="35" t="s">
        <v>2325</v>
      </c>
      <c r="K385" s="35" t="s">
        <v>82</v>
      </c>
      <c r="L385" s="35" t="s">
        <v>2327</v>
      </c>
      <c r="M385" s="35" t="s">
        <v>84</v>
      </c>
      <c r="N385" s="35" t="s">
        <v>2328</v>
      </c>
      <c r="O385" s="35" t="s">
        <v>86</v>
      </c>
    </row>
    <row r="386" spans="1:15" ht="90" hidden="1" x14ac:dyDescent="0.25">
      <c r="A386" s="35">
        <v>415</v>
      </c>
      <c r="B386" s="92">
        <v>2</v>
      </c>
      <c r="C386" s="92">
        <v>110</v>
      </c>
      <c r="D386" s="35" t="s">
        <v>73</v>
      </c>
      <c r="E386" s="35" t="s">
        <v>2329</v>
      </c>
      <c r="F386" s="35" t="s">
        <v>2330</v>
      </c>
      <c r="G386" s="35" t="s">
        <v>2331</v>
      </c>
      <c r="H386" s="35" t="s">
        <v>2332</v>
      </c>
      <c r="I386" s="35" t="s">
        <v>2333</v>
      </c>
      <c r="J386" s="35" t="s">
        <v>2332</v>
      </c>
      <c r="K386" s="35" t="s">
        <v>82</v>
      </c>
      <c r="L386" s="35" t="s">
        <v>2334</v>
      </c>
      <c r="M386" s="35" t="s">
        <v>95</v>
      </c>
      <c r="O386" s="35" t="s">
        <v>86</v>
      </c>
    </row>
    <row r="387" spans="1:15" ht="60" hidden="1" x14ac:dyDescent="0.25">
      <c r="A387" s="35">
        <v>416</v>
      </c>
      <c r="B387" s="92">
        <v>2</v>
      </c>
      <c r="C387" s="92">
        <v>111</v>
      </c>
      <c r="D387" s="35" t="s">
        <v>73</v>
      </c>
      <c r="E387" s="35" t="s">
        <v>2335</v>
      </c>
      <c r="F387" s="35" t="s">
        <v>2336</v>
      </c>
      <c r="G387" s="35" t="s">
        <v>2337</v>
      </c>
      <c r="H387" s="35" t="s">
        <v>2338</v>
      </c>
      <c r="I387" s="35" t="s">
        <v>2339</v>
      </c>
      <c r="J387" s="35" t="s">
        <v>2340</v>
      </c>
      <c r="K387" s="35" t="s">
        <v>69</v>
      </c>
      <c r="L387" s="35" t="s">
        <v>2341</v>
      </c>
      <c r="M387" s="35" t="s">
        <v>95</v>
      </c>
      <c r="O387" s="35" t="s">
        <v>74</v>
      </c>
    </row>
    <row r="388" spans="1:15" ht="45" hidden="1" x14ac:dyDescent="0.25">
      <c r="A388" s="35">
        <v>417</v>
      </c>
      <c r="B388" s="92">
        <v>5</v>
      </c>
      <c r="C388" s="92">
        <v>112</v>
      </c>
      <c r="D388" s="35" t="s">
        <v>3689</v>
      </c>
      <c r="E388" s="35" t="s">
        <v>2342</v>
      </c>
      <c r="F388" s="35" t="s">
        <v>2343</v>
      </c>
      <c r="G388" s="35" t="s">
        <v>2344</v>
      </c>
      <c r="H388" s="35" t="s">
        <v>2345</v>
      </c>
      <c r="I388" s="35" t="s">
        <v>2346</v>
      </c>
      <c r="J388" s="35" t="s">
        <v>2346</v>
      </c>
      <c r="K388" s="35" t="s">
        <v>114</v>
      </c>
      <c r="L388" s="35" t="s">
        <v>2347</v>
      </c>
      <c r="M388" s="35" t="s">
        <v>95</v>
      </c>
      <c r="O388" s="35" t="s">
        <v>74</v>
      </c>
    </row>
    <row r="389" spans="1:15" ht="165" hidden="1" x14ac:dyDescent="0.25">
      <c r="A389" s="35">
        <v>418</v>
      </c>
      <c r="B389" s="92">
        <v>3</v>
      </c>
      <c r="C389" s="92">
        <v>115</v>
      </c>
      <c r="D389" s="35" t="s">
        <v>73</v>
      </c>
      <c r="E389" s="35" t="s">
        <v>2348</v>
      </c>
      <c r="F389" s="35" t="s">
        <v>2349</v>
      </c>
      <c r="G389" s="35" t="s">
        <v>731</v>
      </c>
      <c r="H389" s="35" t="s">
        <v>2350</v>
      </c>
      <c r="I389" s="35" t="s">
        <v>2351</v>
      </c>
      <c r="J389" s="35" t="s">
        <v>2349</v>
      </c>
      <c r="K389" s="35" t="s">
        <v>69</v>
      </c>
      <c r="L389" s="35" t="s">
        <v>2352</v>
      </c>
      <c r="M389" s="35" t="s">
        <v>536</v>
      </c>
      <c r="O389" s="35" t="s">
        <v>86</v>
      </c>
    </row>
    <row r="390" spans="1:15" ht="105" hidden="1" x14ac:dyDescent="0.25">
      <c r="A390" s="35">
        <v>419</v>
      </c>
      <c r="B390" s="92">
        <v>3</v>
      </c>
      <c r="C390" s="92">
        <v>116</v>
      </c>
      <c r="D390" s="35" t="s">
        <v>73</v>
      </c>
      <c r="E390" s="35" t="s">
        <v>2353</v>
      </c>
      <c r="F390" s="35" t="s">
        <v>2354</v>
      </c>
      <c r="G390" s="35" t="s">
        <v>2355</v>
      </c>
      <c r="H390" s="35" t="s">
        <v>2356</v>
      </c>
      <c r="I390" s="35" t="s">
        <v>2357</v>
      </c>
      <c r="J390" s="35" t="s">
        <v>2358</v>
      </c>
      <c r="K390" s="35" t="s">
        <v>82</v>
      </c>
      <c r="L390" s="35" t="s">
        <v>2359</v>
      </c>
      <c r="M390" s="35" t="s">
        <v>536</v>
      </c>
      <c r="O390" s="35" t="s">
        <v>74</v>
      </c>
    </row>
    <row r="391" spans="1:15" ht="90" hidden="1" x14ac:dyDescent="0.25">
      <c r="A391" s="35">
        <v>420</v>
      </c>
      <c r="B391" s="92">
        <v>3</v>
      </c>
      <c r="C391" s="92">
        <v>117</v>
      </c>
      <c r="D391" s="35" t="s">
        <v>73</v>
      </c>
      <c r="E391" s="35" t="s">
        <v>2360</v>
      </c>
      <c r="F391" s="35" t="s">
        <v>2361</v>
      </c>
      <c r="G391" s="35" t="s">
        <v>191</v>
      </c>
      <c r="H391" s="35" t="s">
        <v>2362</v>
      </c>
      <c r="I391" s="35" t="s">
        <v>1031</v>
      </c>
      <c r="J391" s="35" t="s">
        <v>2361</v>
      </c>
      <c r="K391" s="35" t="s">
        <v>69</v>
      </c>
      <c r="L391" s="35" t="s">
        <v>2363</v>
      </c>
      <c r="M391" s="35" t="s">
        <v>536</v>
      </c>
      <c r="O391" s="35" t="s">
        <v>86</v>
      </c>
    </row>
    <row r="392" spans="1:15" ht="120" hidden="1" x14ac:dyDescent="0.25">
      <c r="A392" s="35">
        <v>421</v>
      </c>
      <c r="B392" s="92">
        <v>5</v>
      </c>
      <c r="C392" s="92">
        <v>113</v>
      </c>
      <c r="D392" s="35" t="s">
        <v>3689</v>
      </c>
      <c r="E392" s="35" t="s">
        <v>2364</v>
      </c>
      <c r="F392" s="35" t="s">
        <v>2365</v>
      </c>
      <c r="G392" s="35" t="s">
        <v>2366</v>
      </c>
      <c r="H392" s="35" t="s">
        <v>2367</v>
      </c>
      <c r="I392" s="35" t="s">
        <v>2368</v>
      </c>
      <c r="J392" s="35" t="s">
        <v>2366</v>
      </c>
      <c r="K392" s="35" t="s">
        <v>101</v>
      </c>
      <c r="L392" s="35" t="s">
        <v>2369</v>
      </c>
      <c r="M392" s="35" t="s">
        <v>536</v>
      </c>
      <c r="O392" s="35" t="s">
        <v>74</v>
      </c>
    </row>
    <row r="393" spans="1:15" ht="60" hidden="1" x14ac:dyDescent="0.25">
      <c r="A393" s="35">
        <v>422</v>
      </c>
      <c r="B393" s="92">
        <v>3</v>
      </c>
      <c r="C393" s="92">
        <v>118</v>
      </c>
      <c r="D393" s="35" t="s">
        <v>73</v>
      </c>
      <c r="E393" s="35" t="s">
        <v>2370</v>
      </c>
      <c r="F393" s="35" t="s">
        <v>2371</v>
      </c>
      <c r="G393" s="35" t="s">
        <v>2372</v>
      </c>
      <c r="H393" s="35" t="s">
        <v>2373</v>
      </c>
      <c r="I393" s="35" t="s">
        <v>2374</v>
      </c>
      <c r="J393" s="35" t="s">
        <v>2372</v>
      </c>
      <c r="K393" s="35" t="s">
        <v>101</v>
      </c>
      <c r="L393" s="35" t="s">
        <v>2375</v>
      </c>
      <c r="M393" s="35" t="s">
        <v>536</v>
      </c>
      <c r="O393" s="35" t="s">
        <v>86</v>
      </c>
    </row>
    <row r="394" spans="1:15" ht="150" hidden="1" x14ac:dyDescent="0.25">
      <c r="A394" s="35">
        <v>423</v>
      </c>
      <c r="B394" s="92">
        <v>2</v>
      </c>
      <c r="C394" s="92">
        <v>112</v>
      </c>
      <c r="D394" s="35" t="s">
        <v>73</v>
      </c>
      <c r="E394" s="35" t="s">
        <v>2376</v>
      </c>
      <c r="F394" s="35" t="s">
        <v>2377</v>
      </c>
      <c r="G394" s="35" t="s">
        <v>2378</v>
      </c>
      <c r="H394" s="35" t="s">
        <v>2379</v>
      </c>
      <c r="I394" s="35" t="s">
        <v>2380</v>
      </c>
      <c r="J394" s="35" t="s">
        <v>2380</v>
      </c>
      <c r="K394" s="35" t="s">
        <v>114</v>
      </c>
      <c r="L394" s="35" t="s">
        <v>2381</v>
      </c>
      <c r="M394" s="35" t="s">
        <v>95</v>
      </c>
      <c r="O394" s="35" t="s">
        <v>86</v>
      </c>
    </row>
    <row r="395" spans="1:15" ht="120" hidden="1" x14ac:dyDescent="0.25">
      <c r="A395" s="35">
        <v>424</v>
      </c>
      <c r="B395" s="92">
        <v>5</v>
      </c>
      <c r="C395" s="92">
        <v>114</v>
      </c>
      <c r="D395" s="35" t="s">
        <v>3689</v>
      </c>
      <c r="E395" s="35" t="s">
        <v>2382</v>
      </c>
      <c r="F395" s="35" t="s">
        <v>2383</v>
      </c>
      <c r="G395" s="35" t="s">
        <v>2384</v>
      </c>
      <c r="H395" s="35" t="s">
        <v>2385</v>
      </c>
      <c r="I395" s="35" t="s">
        <v>2386</v>
      </c>
      <c r="J395" s="35" t="s">
        <v>2385</v>
      </c>
      <c r="K395" s="35" t="s">
        <v>82</v>
      </c>
      <c r="L395" s="35" t="s">
        <v>2387</v>
      </c>
      <c r="M395" s="35" t="s">
        <v>536</v>
      </c>
      <c r="O395" s="35" t="s">
        <v>86</v>
      </c>
    </row>
    <row r="396" spans="1:15" ht="105" x14ac:dyDescent="0.25">
      <c r="A396" s="35">
        <v>425</v>
      </c>
      <c r="B396" s="92">
        <v>1</v>
      </c>
      <c r="C396" s="92">
        <v>46</v>
      </c>
      <c r="D396" s="35" t="s">
        <v>73</v>
      </c>
      <c r="E396" s="35" t="s">
        <v>2388</v>
      </c>
      <c r="F396" s="35" t="s">
        <v>2389</v>
      </c>
      <c r="G396" s="35" t="s">
        <v>2390</v>
      </c>
      <c r="H396" s="35" t="s">
        <v>2391</v>
      </c>
      <c r="I396" s="35" t="s">
        <v>2392</v>
      </c>
      <c r="J396" s="35" t="s">
        <v>2389</v>
      </c>
      <c r="K396" s="35" t="s">
        <v>69</v>
      </c>
      <c r="L396" s="35" t="s">
        <v>2393</v>
      </c>
      <c r="M396" s="35" t="s">
        <v>72</v>
      </c>
      <c r="O396" s="35" t="s">
        <v>74</v>
      </c>
    </row>
    <row r="397" spans="1:15" ht="135" x14ac:dyDescent="0.25">
      <c r="A397" s="35">
        <v>427</v>
      </c>
      <c r="B397" s="92">
        <v>1</v>
      </c>
      <c r="C397" s="92">
        <v>47</v>
      </c>
      <c r="D397" s="35" t="s">
        <v>73</v>
      </c>
      <c r="E397" s="35" t="s">
        <v>2395</v>
      </c>
      <c r="F397" s="35" t="s">
        <v>2396</v>
      </c>
      <c r="G397" s="35" t="s">
        <v>2397</v>
      </c>
      <c r="H397" s="35" t="s">
        <v>2398</v>
      </c>
      <c r="I397" s="35" t="s">
        <v>2399</v>
      </c>
      <c r="J397" s="35" t="s">
        <v>2397</v>
      </c>
      <c r="K397" s="35" t="s">
        <v>101</v>
      </c>
      <c r="L397" s="35" t="s">
        <v>2400</v>
      </c>
      <c r="M397" s="35" t="s">
        <v>72</v>
      </c>
      <c r="O397" s="35" t="s">
        <v>74</v>
      </c>
    </row>
    <row r="398" spans="1:15" ht="120" hidden="1" x14ac:dyDescent="0.25">
      <c r="A398" s="35">
        <v>428</v>
      </c>
      <c r="B398" s="92">
        <v>5</v>
      </c>
      <c r="C398" s="92">
        <v>115</v>
      </c>
      <c r="D398" s="35" t="s">
        <v>3689</v>
      </c>
      <c r="E398" s="35" t="s">
        <v>2401</v>
      </c>
      <c r="F398" s="35" t="s">
        <v>2402</v>
      </c>
      <c r="G398" s="35" t="s">
        <v>2403</v>
      </c>
      <c r="H398" s="35" t="s">
        <v>2404</v>
      </c>
      <c r="I398" s="35" t="s">
        <v>2405</v>
      </c>
      <c r="J398" s="35" t="s">
        <v>2402</v>
      </c>
      <c r="K398" s="35" t="s">
        <v>69</v>
      </c>
      <c r="L398" s="35" t="s">
        <v>2406</v>
      </c>
      <c r="M398" s="35" t="s">
        <v>536</v>
      </c>
      <c r="O398" s="35" t="s">
        <v>122</v>
      </c>
    </row>
    <row r="399" spans="1:15" ht="60" x14ac:dyDescent="0.25">
      <c r="A399" s="35">
        <v>429</v>
      </c>
      <c r="B399" s="92">
        <v>1</v>
      </c>
      <c r="C399" s="92">
        <v>48</v>
      </c>
      <c r="D399" s="35" t="s">
        <v>73</v>
      </c>
      <c r="E399" s="35" t="s">
        <v>2407</v>
      </c>
      <c r="F399" s="35" t="s">
        <v>2408</v>
      </c>
      <c r="G399" s="35" t="s">
        <v>2409</v>
      </c>
      <c r="H399" s="35" t="s">
        <v>2410</v>
      </c>
      <c r="I399" s="35" t="s">
        <v>2411</v>
      </c>
      <c r="J399" s="35" t="s">
        <v>2409</v>
      </c>
      <c r="K399" s="35" t="s">
        <v>101</v>
      </c>
      <c r="L399" s="35" t="s">
        <v>2412</v>
      </c>
      <c r="M399" s="35" t="s">
        <v>72</v>
      </c>
      <c r="O399" s="35" t="s">
        <v>74</v>
      </c>
    </row>
    <row r="400" spans="1:15" ht="225" hidden="1" x14ac:dyDescent="0.25">
      <c r="A400" s="35">
        <v>430</v>
      </c>
      <c r="B400" s="92">
        <v>3</v>
      </c>
      <c r="C400" s="92">
        <v>119</v>
      </c>
      <c r="D400" s="35" t="s">
        <v>73</v>
      </c>
      <c r="E400" s="35" t="s">
        <v>2413</v>
      </c>
      <c r="F400" s="35" t="s">
        <v>2414</v>
      </c>
      <c r="G400" s="35" t="s">
        <v>2415</v>
      </c>
      <c r="H400" s="35" t="s">
        <v>2416</v>
      </c>
      <c r="I400" s="35" t="s">
        <v>2417</v>
      </c>
      <c r="J400" s="35" t="s">
        <v>2415</v>
      </c>
      <c r="K400" s="35" t="s">
        <v>101</v>
      </c>
      <c r="L400" s="35" t="s">
        <v>2418</v>
      </c>
      <c r="M400" s="35" t="s">
        <v>536</v>
      </c>
      <c r="O400" s="35" t="s">
        <v>122</v>
      </c>
    </row>
    <row r="401" spans="1:15" ht="90" hidden="1" x14ac:dyDescent="0.25">
      <c r="A401" s="35">
        <v>431</v>
      </c>
      <c r="B401" s="92">
        <v>3</v>
      </c>
      <c r="C401" s="92">
        <v>120</v>
      </c>
      <c r="D401" s="35" t="s">
        <v>73</v>
      </c>
      <c r="E401" s="35" t="s">
        <v>2419</v>
      </c>
      <c r="F401" s="35" t="s">
        <v>2420</v>
      </c>
      <c r="G401" s="35" t="s">
        <v>2421</v>
      </c>
      <c r="H401" s="35" t="s">
        <v>2422</v>
      </c>
      <c r="I401" s="35" t="s">
        <v>2423</v>
      </c>
      <c r="J401" s="35" t="s">
        <v>2421</v>
      </c>
      <c r="K401" s="35" t="s">
        <v>101</v>
      </c>
      <c r="L401" s="35" t="s">
        <v>2424</v>
      </c>
      <c r="M401" s="35" t="s">
        <v>536</v>
      </c>
      <c r="O401" s="35" t="s">
        <v>74</v>
      </c>
    </row>
    <row r="402" spans="1:15" ht="60" hidden="1" x14ac:dyDescent="0.25">
      <c r="A402" s="35">
        <v>432</v>
      </c>
      <c r="B402" s="92">
        <v>2</v>
      </c>
      <c r="C402" s="92">
        <v>113</v>
      </c>
      <c r="D402" s="35" t="s">
        <v>73</v>
      </c>
      <c r="E402" s="35" t="s">
        <v>2425</v>
      </c>
      <c r="F402" s="35" t="s">
        <v>2426</v>
      </c>
      <c r="G402" s="35" t="s">
        <v>2427</v>
      </c>
      <c r="H402" s="35" t="s">
        <v>2428</v>
      </c>
      <c r="I402" s="35" t="s">
        <v>2429</v>
      </c>
      <c r="J402" s="35" t="s">
        <v>2428</v>
      </c>
      <c r="K402" s="35" t="s">
        <v>82</v>
      </c>
      <c r="L402" s="35" t="s">
        <v>2430</v>
      </c>
      <c r="M402" s="35" t="s">
        <v>95</v>
      </c>
      <c r="O402" s="35" t="s">
        <v>74</v>
      </c>
    </row>
    <row r="403" spans="1:15" ht="120" hidden="1" x14ac:dyDescent="0.25">
      <c r="A403" s="35">
        <v>433</v>
      </c>
      <c r="B403" s="92">
        <v>2</v>
      </c>
      <c r="C403" s="92">
        <v>114</v>
      </c>
      <c r="D403" s="35" t="s">
        <v>73</v>
      </c>
      <c r="E403" s="35" t="s">
        <v>2431</v>
      </c>
      <c r="F403" s="35" t="s">
        <v>2432</v>
      </c>
      <c r="G403" s="35" t="s">
        <v>2433</v>
      </c>
      <c r="H403" s="35" t="s">
        <v>2434</v>
      </c>
      <c r="I403" s="35" t="s">
        <v>2435</v>
      </c>
      <c r="J403" s="35" t="s">
        <v>2435</v>
      </c>
      <c r="K403" s="35" t="s">
        <v>114</v>
      </c>
      <c r="L403" s="35" t="s">
        <v>2436</v>
      </c>
      <c r="M403" s="35" t="s">
        <v>95</v>
      </c>
      <c r="O403" s="35" t="s">
        <v>86</v>
      </c>
    </row>
    <row r="404" spans="1:15" ht="90" hidden="1" x14ac:dyDescent="0.25">
      <c r="A404" s="35">
        <v>434</v>
      </c>
      <c r="B404" s="92">
        <v>3</v>
      </c>
      <c r="C404" s="92">
        <v>121</v>
      </c>
      <c r="D404" s="35" t="s">
        <v>73</v>
      </c>
      <c r="E404" s="35" t="s">
        <v>2437</v>
      </c>
      <c r="F404" s="35" t="s">
        <v>2438</v>
      </c>
      <c r="G404" s="35" t="s">
        <v>2439</v>
      </c>
      <c r="H404" s="35" t="s">
        <v>2440</v>
      </c>
      <c r="I404" s="35" t="s">
        <v>2441</v>
      </c>
      <c r="J404" s="35" t="s">
        <v>2441</v>
      </c>
      <c r="K404" s="35" t="s">
        <v>114</v>
      </c>
      <c r="L404" s="35" t="s">
        <v>2442</v>
      </c>
      <c r="M404" s="35" t="s">
        <v>536</v>
      </c>
      <c r="O404" s="35" t="s">
        <v>74</v>
      </c>
    </row>
    <row r="405" spans="1:15" ht="90" hidden="1" x14ac:dyDescent="0.25">
      <c r="A405" s="35">
        <v>435</v>
      </c>
      <c r="B405" s="92">
        <v>3</v>
      </c>
      <c r="C405" s="92">
        <v>122</v>
      </c>
      <c r="D405" s="35" t="s">
        <v>73</v>
      </c>
      <c r="E405" s="35" t="s">
        <v>2443</v>
      </c>
      <c r="F405" s="35" t="s">
        <v>2444</v>
      </c>
      <c r="G405" s="35" t="s">
        <v>2445</v>
      </c>
      <c r="H405" s="35" t="s">
        <v>2446</v>
      </c>
      <c r="I405" s="35" t="s">
        <v>2447</v>
      </c>
      <c r="J405" s="35" t="s">
        <v>2445</v>
      </c>
      <c r="K405" s="35" t="s">
        <v>101</v>
      </c>
      <c r="L405" s="35" t="s">
        <v>2448</v>
      </c>
      <c r="M405" s="35" t="s">
        <v>536</v>
      </c>
      <c r="O405" s="35" t="s">
        <v>74</v>
      </c>
    </row>
    <row r="406" spans="1:15" ht="90" hidden="1" x14ac:dyDescent="0.25">
      <c r="A406" s="35">
        <v>436</v>
      </c>
      <c r="B406" s="92">
        <v>3</v>
      </c>
      <c r="C406" s="92">
        <v>123</v>
      </c>
      <c r="D406" s="35" t="s">
        <v>73</v>
      </c>
      <c r="E406" s="35" t="s">
        <v>2449</v>
      </c>
      <c r="F406" s="35" t="s">
        <v>2450</v>
      </c>
      <c r="G406" s="35" t="s">
        <v>2451</v>
      </c>
      <c r="H406" s="35" t="s">
        <v>2452</v>
      </c>
      <c r="I406" s="35" t="s">
        <v>2453</v>
      </c>
      <c r="J406" s="35" t="s">
        <v>2453</v>
      </c>
      <c r="K406" s="35" t="s">
        <v>114</v>
      </c>
      <c r="L406" s="35" t="s">
        <v>2454</v>
      </c>
      <c r="M406" s="35" t="s">
        <v>536</v>
      </c>
      <c r="O406" s="35" t="s">
        <v>86</v>
      </c>
    </row>
    <row r="407" spans="1:15" ht="90" hidden="1" x14ac:dyDescent="0.25">
      <c r="A407" s="35">
        <v>437</v>
      </c>
      <c r="B407" s="92">
        <v>2</v>
      </c>
      <c r="C407" s="92">
        <v>115</v>
      </c>
      <c r="D407" s="35" t="s">
        <v>73</v>
      </c>
      <c r="E407" s="35" t="s">
        <v>2455</v>
      </c>
      <c r="F407" s="35" t="s">
        <v>2456</v>
      </c>
      <c r="G407" s="35" t="s">
        <v>2457</v>
      </c>
      <c r="H407" s="35" t="s">
        <v>2458</v>
      </c>
      <c r="I407" s="35" t="s">
        <v>2459</v>
      </c>
      <c r="J407" s="35" t="s">
        <v>2456</v>
      </c>
      <c r="K407" s="35" t="s">
        <v>69</v>
      </c>
      <c r="L407" s="35" t="s">
        <v>2460</v>
      </c>
      <c r="M407" s="35" t="s">
        <v>95</v>
      </c>
      <c r="O407" s="35" t="s">
        <v>86</v>
      </c>
    </row>
    <row r="408" spans="1:15" ht="90" hidden="1" x14ac:dyDescent="0.25">
      <c r="A408" s="35">
        <v>438</v>
      </c>
      <c r="B408" s="92">
        <v>3</v>
      </c>
      <c r="C408" s="92">
        <v>124</v>
      </c>
      <c r="D408" s="35" t="s">
        <v>73</v>
      </c>
      <c r="E408" s="35" t="s">
        <v>2461</v>
      </c>
      <c r="F408" s="35" t="s">
        <v>2462</v>
      </c>
      <c r="G408" s="35" t="s">
        <v>2463</v>
      </c>
      <c r="H408" s="35" t="s">
        <v>2464</v>
      </c>
      <c r="I408" s="35" t="s">
        <v>2465</v>
      </c>
      <c r="J408" s="35" t="s">
        <v>2465</v>
      </c>
      <c r="K408" s="35" t="s">
        <v>114</v>
      </c>
      <c r="L408" s="35" t="s">
        <v>2466</v>
      </c>
      <c r="M408" s="35" t="s">
        <v>536</v>
      </c>
      <c r="O408" s="35" t="s">
        <v>122</v>
      </c>
    </row>
    <row r="409" spans="1:15" ht="60" hidden="1" x14ac:dyDescent="0.25">
      <c r="A409" s="35">
        <v>439</v>
      </c>
      <c r="B409" s="92">
        <v>3</v>
      </c>
      <c r="C409" s="92">
        <v>125</v>
      </c>
      <c r="D409" s="35" t="s">
        <v>73</v>
      </c>
      <c r="E409" s="35" t="s">
        <v>2467</v>
      </c>
      <c r="F409" s="35" t="s">
        <v>2468</v>
      </c>
      <c r="G409" s="35" t="s">
        <v>2469</v>
      </c>
      <c r="H409" s="35" t="s">
        <v>2470</v>
      </c>
      <c r="I409" s="35" t="s">
        <v>2471</v>
      </c>
      <c r="J409" s="35" t="s">
        <v>2469</v>
      </c>
      <c r="K409" s="35" t="s">
        <v>101</v>
      </c>
      <c r="L409" s="35" t="s">
        <v>2472</v>
      </c>
      <c r="M409" s="35" t="s">
        <v>536</v>
      </c>
      <c r="O409" s="35" t="s">
        <v>86</v>
      </c>
    </row>
    <row r="410" spans="1:15" ht="120" x14ac:dyDescent="0.25">
      <c r="A410" s="35">
        <v>440</v>
      </c>
      <c r="B410" s="92">
        <v>1</v>
      </c>
      <c r="C410" s="92">
        <v>49</v>
      </c>
      <c r="D410" s="35" t="s">
        <v>73</v>
      </c>
      <c r="E410" s="35" t="s">
        <v>2473</v>
      </c>
      <c r="F410" s="35" t="s">
        <v>2474</v>
      </c>
      <c r="G410" s="35" t="s">
        <v>2475</v>
      </c>
      <c r="H410" s="35" t="s">
        <v>2476</v>
      </c>
      <c r="I410" s="35" t="s">
        <v>2477</v>
      </c>
      <c r="J410" s="35" t="s">
        <v>2477</v>
      </c>
      <c r="K410" s="35" t="s">
        <v>114</v>
      </c>
      <c r="L410" s="35" t="s">
        <v>2478</v>
      </c>
      <c r="M410" s="35" t="s">
        <v>72</v>
      </c>
      <c r="O410" s="35" t="s">
        <v>86</v>
      </c>
    </row>
    <row r="411" spans="1:15" ht="135" hidden="1" x14ac:dyDescent="0.25">
      <c r="A411" s="35">
        <v>441</v>
      </c>
      <c r="B411" s="92">
        <v>2</v>
      </c>
      <c r="C411" s="92">
        <v>116</v>
      </c>
      <c r="D411" s="35" t="s">
        <v>73</v>
      </c>
      <c r="E411" s="35" t="s">
        <v>2479</v>
      </c>
      <c r="F411" s="35" t="s">
        <v>2480</v>
      </c>
      <c r="G411" s="35" t="s">
        <v>2481</v>
      </c>
      <c r="H411" s="35" t="s">
        <v>2482</v>
      </c>
      <c r="I411" s="35" t="s">
        <v>2483</v>
      </c>
      <c r="J411" s="35" t="s">
        <v>2482</v>
      </c>
      <c r="K411" s="35" t="s">
        <v>82</v>
      </c>
      <c r="L411" s="35" t="s">
        <v>2484</v>
      </c>
      <c r="M411" s="35" t="s">
        <v>95</v>
      </c>
      <c r="O411" s="35" t="s">
        <v>122</v>
      </c>
    </row>
    <row r="412" spans="1:15" ht="90" hidden="1" x14ac:dyDescent="0.25">
      <c r="A412" s="35">
        <v>443</v>
      </c>
      <c r="B412" s="92">
        <v>5</v>
      </c>
      <c r="C412" s="92">
        <v>116</v>
      </c>
      <c r="D412" s="35" t="s">
        <v>3689</v>
      </c>
      <c r="E412" s="35" t="s">
        <v>2485</v>
      </c>
      <c r="F412" s="35" t="s">
        <v>2486</v>
      </c>
      <c r="G412" s="35" t="s">
        <v>2487</v>
      </c>
      <c r="H412" s="35" t="s">
        <v>2488</v>
      </c>
      <c r="I412" s="35" t="s">
        <v>2489</v>
      </c>
      <c r="J412" s="35" t="s">
        <v>2488</v>
      </c>
      <c r="K412" s="35" t="s">
        <v>82</v>
      </c>
      <c r="L412" s="35" t="s">
        <v>2490</v>
      </c>
      <c r="M412" s="35" t="s">
        <v>95</v>
      </c>
      <c r="O412" s="35" t="s">
        <v>122</v>
      </c>
    </row>
    <row r="413" spans="1:15" ht="75" hidden="1" x14ac:dyDescent="0.25">
      <c r="A413" s="35">
        <v>444</v>
      </c>
      <c r="B413" s="92">
        <v>3</v>
      </c>
      <c r="C413" s="92">
        <v>126</v>
      </c>
      <c r="D413" s="35" t="s">
        <v>73</v>
      </c>
      <c r="E413" s="35" t="s">
        <v>2491</v>
      </c>
      <c r="F413" s="35" t="s">
        <v>2492</v>
      </c>
      <c r="G413" s="35" t="s">
        <v>2493</v>
      </c>
      <c r="H413" s="35" t="s">
        <v>2494</v>
      </c>
      <c r="I413" s="35" t="s">
        <v>2495</v>
      </c>
      <c r="J413" s="35" t="s">
        <v>2492</v>
      </c>
      <c r="K413" s="35" t="s">
        <v>69</v>
      </c>
      <c r="L413" s="35" t="s">
        <v>2496</v>
      </c>
      <c r="M413" s="35" t="s">
        <v>536</v>
      </c>
      <c r="O413" s="35" t="s">
        <v>122</v>
      </c>
    </row>
    <row r="414" spans="1:15" ht="105" hidden="1" x14ac:dyDescent="0.25">
      <c r="A414" s="35">
        <v>445</v>
      </c>
      <c r="B414" s="92">
        <v>5</v>
      </c>
      <c r="C414" s="92">
        <v>117</v>
      </c>
      <c r="D414" s="35" t="s">
        <v>3689</v>
      </c>
      <c r="E414" s="35" t="s">
        <v>2497</v>
      </c>
      <c r="F414" s="35" t="s">
        <v>2498</v>
      </c>
      <c r="G414" s="35" t="s">
        <v>2499</v>
      </c>
      <c r="H414" s="35" t="s">
        <v>2500</v>
      </c>
      <c r="I414" s="35" t="s">
        <v>2501</v>
      </c>
      <c r="J414" s="35" t="s">
        <v>2500</v>
      </c>
      <c r="K414" s="35" t="s">
        <v>82</v>
      </c>
      <c r="L414" s="35" t="s">
        <v>2502</v>
      </c>
      <c r="M414" s="35" t="s">
        <v>536</v>
      </c>
      <c r="O414" s="35" t="s">
        <v>122</v>
      </c>
    </row>
    <row r="415" spans="1:15" ht="255" hidden="1" x14ac:dyDescent="0.25">
      <c r="A415" s="35">
        <v>446</v>
      </c>
      <c r="B415" s="92">
        <v>2</v>
      </c>
      <c r="C415" s="92">
        <v>117</v>
      </c>
      <c r="D415" s="35" t="s">
        <v>73</v>
      </c>
      <c r="E415" s="35" t="s">
        <v>2503</v>
      </c>
      <c r="F415" s="35" t="s">
        <v>2504</v>
      </c>
      <c r="G415" s="35" t="s">
        <v>2505</v>
      </c>
      <c r="H415" s="35" t="s">
        <v>2506</v>
      </c>
      <c r="I415" s="35" t="s">
        <v>2507</v>
      </c>
      <c r="J415" s="35" t="s">
        <v>2505</v>
      </c>
      <c r="K415" s="35" t="s">
        <v>101</v>
      </c>
      <c r="L415" s="35" t="s">
        <v>2508</v>
      </c>
      <c r="M415" s="35" t="s">
        <v>95</v>
      </c>
      <c r="O415" s="35" t="s">
        <v>122</v>
      </c>
    </row>
    <row r="416" spans="1:15" ht="150" hidden="1" x14ac:dyDescent="0.25">
      <c r="A416" s="35">
        <v>447</v>
      </c>
      <c r="B416" s="92">
        <v>3</v>
      </c>
      <c r="C416" s="92">
        <v>127</v>
      </c>
      <c r="D416" s="35" t="s">
        <v>73</v>
      </c>
      <c r="E416" s="35" t="s">
        <v>2509</v>
      </c>
      <c r="F416" s="35" t="s">
        <v>2510</v>
      </c>
      <c r="G416" s="35" t="s">
        <v>2511</v>
      </c>
      <c r="H416" s="35" t="s">
        <v>2512</v>
      </c>
      <c r="I416" s="35" t="s">
        <v>2513</v>
      </c>
      <c r="J416" s="35" t="s">
        <v>2512</v>
      </c>
      <c r="K416" s="35" t="s">
        <v>82</v>
      </c>
      <c r="L416" s="35" t="s">
        <v>2514</v>
      </c>
      <c r="M416" s="35" t="s">
        <v>536</v>
      </c>
      <c r="O416" s="35" t="s">
        <v>122</v>
      </c>
    </row>
    <row r="417" spans="1:15" ht="60" x14ac:dyDescent="0.25">
      <c r="A417" s="35">
        <v>448</v>
      </c>
      <c r="B417" s="92">
        <v>1</v>
      </c>
      <c r="C417" s="92">
        <v>50</v>
      </c>
      <c r="D417" s="35" t="s">
        <v>73</v>
      </c>
      <c r="E417" s="35" t="s">
        <v>2515</v>
      </c>
      <c r="F417" s="35" t="s">
        <v>105</v>
      </c>
      <c r="G417" s="35" t="s">
        <v>106</v>
      </c>
      <c r="H417" s="35" t="s">
        <v>2516</v>
      </c>
      <c r="I417" s="35" t="s">
        <v>2517</v>
      </c>
      <c r="J417" s="35" t="s">
        <v>2516</v>
      </c>
      <c r="K417" s="35" t="s">
        <v>82</v>
      </c>
      <c r="L417" s="35" t="s">
        <v>2518</v>
      </c>
      <c r="M417" s="35" t="s">
        <v>72</v>
      </c>
      <c r="O417" s="35" t="s">
        <v>74</v>
      </c>
    </row>
    <row r="418" spans="1:15" ht="105" hidden="1" x14ac:dyDescent="0.25">
      <c r="A418" s="35">
        <v>450</v>
      </c>
      <c r="B418" s="92">
        <v>2</v>
      </c>
      <c r="C418" s="92">
        <v>118</v>
      </c>
      <c r="D418" s="35" t="s">
        <v>73</v>
      </c>
      <c r="E418" s="35" t="s">
        <v>2520</v>
      </c>
      <c r="F418" s="35" t="s">
        <v>2521</v>
      </c>
      <c r="G418" s="35" t="s">
        <v>2522</v>
      </c>
      <c r="H418" s="35" t="s">
        <v>2523</v>
      </c>
      <c r="I418" s="35" t="s">
        <v>2524</v>
      </c>
      <c r="J418" s="35" t="s">
        <v>2524</v>
      </c>
      <c r="K418" s="35" t="s">
        <v>114</v>
      </c>
      <c r="L418" s="35" t="s">
        <v>2525</v>
      </c>
      <c r="M418" s="35" t="s">
        <v>95</v>
      </c>
      <c r="O418" s="35" t="s">
        <v>74</v>
      </c>
    </row>
    <row r="419" spans="1:15" ht="75" hidden="1" x14ac:dyDescent="0.25">
      <c r="A419" s="35">
        <v>451</v>
      </c>
      <c r="B419" s="92">
        <v>2</v>
      </c>
      <c r="C419" s="92">
        <v>119</v>
      </c>
      <c r="D419" s="35" t="s">
        <v>73</v>
      </c>
      <c r="E419" s="35" t="s">
        <v>2526</v>
      </c>
      <c r="F419" s="35" t="s">
        <v>2527</v>
      </c>
      <c r="G419" s="35" t="s">
        <v>2528</v>
      </c>
      <c r="H419" s="35" t="s">
        <v>2529</v>
      </c>
      <c r="I419" s="35" t="s">
        <v>2530</v>
      </c>
      <c r="J419" s="35" t="s">
        <v>2527</v>
      </c>
      <c r="K419" s="35" t="s">
        <v>69</v>
      </c>
      <c r="L419" s="35" t="s">
        <v>2531</v>
      </c>
      <c r="M419" s="35" t="s">
        <v>95</v>
      </c>
      <c r="O419" s="35" t="s">
        <v>74</v>
      </c>
    </row>
    <row r="420" spans="1:15" ht="120" hidden="1" x14ac:dyDescent="0.25">
      <c r="A420" s="35">
        <v>452</v>
      </c>
      <c r="B420" s="92">
        <v>3</v>
      </c>
      <c r="C420" s="92">
        <v>128</v>
      </c>
      <c r="D420" s="35" t="s">
        <v>73</v>
      </c>
      <c r="E420" s="35" t="s">
        <v>2532</v>
      </c>
      <c r="F420" s="35" t="s">
        <v>2533</v>
      </c>
      <c r="G420" s="35" t="s">
        <v>2534</v>
      </c>
      <c r="H420" s="35" t="s">
        <v>2535</v>
      </c>
      <c r="I420" s="35" t="s">
        <v>141</v>
      </c>
      <c r="J420" s="35" t="s">
        <v>141</v>
      </c>
      <c r="K420" s="35" t="s">
        <v>114</v>
      </c>
      <c r="L420" s="35" t="s">
        <v>2536</v>
      </c>
      <c r="M420" s="35" t="s">
        <v>536</v>
      </c>
      <c r="O420" s="35" t="s">
        <v>74</v>
      </c>
    </row>
    <row r="421" spans="1:15" ht="120" hidden="1" x14ac:dyDescent="0.25">
      <c r="A421" s="35">
        <v>453</v>
      </c>
      <c r="B421" s="92">
        <v>3</v>
      </c>
      <c r="C421" s="92">
        <v>129</v>
      </c>
      <c r="D421" s="35" t="s">
        <v>73</v>
      </c>
      <c r="E421" s="35" t="s">
        <v>2537</v>
      </c>
      <c r="F421" s="35" t="s">
        <v>2538</v>
      </c>
      <c r="G421" s="35" t="s">
        <v>2539</v>
      </c>
      <c r="H421" s="35" t="s">
        <v>2540</v>
      </c>
      <c r="I421" s="35" t="s">
        <v>2541</v>
      </c>
      <c r="J421" s="35" t="s">
        <v>2539</v>
      </c>
      <c r="K421" s="35" t="s">
        <v>101</v>
      </c>
      <c r="L421" s="35" t="s">
        <v>2542</v>
      </c>
      <c r="M421" s="35" t="s">
        <v>536</v>
      </c>
      <c r="O421" s="35" t="s">
        <v>86</v>
      </c>
    </row>
    <row r="422" spans="1:15" ht="135" hidden="1" x14ac:dyDescent="0.25">
      <c r="A422" s="35">
        <v>454</v>
      </c>
      <c r="B422" s="92">
        <v>5</v>
      </c>
      <c r="C422" s="92">
        <v>118</v>
      </c>
      <c r="D422" s="35" t="s">
        <v>3689</v>
      </c>
      <c r="E422" s="35" t="s">
        <v>2543</v>
      </c>
      <c r="F422" s="35" t="s">
        <v>2544</v>
      </c>
      <c r="G422" s="35" t="s">
        <v>2545</v>
      </c>
      <c r="H422" s="35" t="s">
        <v>2546</v>
      </c>
      <c r="I422" s="35" t="s">
        <v>124</v>
      </c>
      <c r="J422" s="35" t="s">
        <v>2546</v>
      </c>
      <c r="K422" s="35" t="s">
        <v>82</v>
      </c>
      <c r="L422" s="35" t="s">
        <v>2547</v>
      </c>
      <c r="M422" s="35" t="s">
        <v>95</v>
      </c>
      <c r="O422" s="35" t="s">
        <v>86</v>
      </c>
    </row>
    <row r="423" spans="1:15" ht="105" hidden="1" x14ac:dyDescent="0.25">
      <c r="A423" s="35">
        <v>455</v>
      </c>
      <c r="B423" s="92">
        <v>2</v>
      </c>
      <c r="C423" s="92">
        <v>120</v>
      </c>
      <c r="D423" s="35" t="s">
        <v>73</v>
      </c>
      <c r="E423" s="35" t="s">
        <v>2548</v>
      </c>
      <c r="F423" s="35" t="s">
        <v>2549</v>
      </c>
      <c r="G423" s="35" t="s">
        <v>2550</v>
      </c>
      <c r="H423" s="35" t="s">
        <v>2551</v>
      </c>
      <c r="I423" s="35" t="s">
        <v>2552</v>
      </c>
      <c r="J423" s="35" t="s">
        <v>2552</v>
      </c>
      <c r="K423" s="35" t="s">
        <v>114</v>
      </c>
      <c r="L423" s="35" t="s">
        <v>2553</v>
      </c>
      <c r="M423" s="35" t="s">
        <v>95</v>
      </c>
      <c r="O423" s="35" t="s">
        <v>86</v>
      </c>
    </row>
    <row r="424" spans="1:15" ht="90" hidden="1" x14ac:dyDescent="0.25">
      <c r="A424" s="35">
        <v>456</v>
      </c>
      <c r="B424" s="92">
        <v>5</v>
      </c>
      <c r="C424" s="92">
        <v>119</v>
      </c>
      <c r="D424" s="35" t="s">
        <v>3689</v>
      </c>
      <c r="E424" s="35" t="s">
        <v>2554</v>
      </c>
      <c r="F424" s="35" t="s">
        <v>2555</v>
      </c>
      <c r="G424" s="35" t="s">
        <v>2556</v>
      </c>
      <c r="H424" s="35" t="s">
        <v>2557</v>
      </c>
      <c r="I424" s="35" t="s">
        <v>2558</v>
      </c>
      <c r="J424" s="35" t="s">
        <v>2557</v>
      </c>
      <c r="K424" s="35" t="s">
        <v>82</v>
      </c>
      <c r="L424" s="35" t="s">
        <v>2559</v>
      </c>
      <c r="M424" s="35" t="s">
        <v>536</v>
      </c>
      <c r="O424" s="35" t="s">
        <v>86</v>
      </c>
    </row>
    <row r="425" spans="1:15" ht="120" hidden="1" x14ac:dyDescent="0.25">
      <c r="A425" s="35">
        <v>457</v>
      </c>
      <c r="B425" s="92">
        <v>3</v>
      </c>
      <c r="C425" s="92">
        <v>130</v>
      </c>
      <c r="D425" s="35" t="s">
        <v>73</v>
      </c>
      <c r="E425" s="35" t="s">
        <v>2560</v>
      </c>
      <c r="F425" s="35" t="s">
        <v>2561</v>
      </c>
      <c r="G425" s="35" t="s">
        <v>2562</v>
      </c>
      <c r="H425" s="35" t="s">
        <v>2563</v>
      </c>
      <c r="I425" s="35" t="s">
        <v>2564</v>
      </c>
      <c r="J425" s="35" t="s">
        <v>2562</v>
      </c>
      <c r="K425" s="35" t="s">
        <v>101</v>
      </c>
      <c r="L425" s="35" t="s">
        <v>2565</v>
      </c>
      <c r="M425" s="35" t="s">
        <v>536</v>
      </c>
      <c r="O425" s="35" t="s">
        <v>122</v>
      </c>
    </row>
    <row r="426" spans="1:15" ht="165" hidden="1" x14ac:dyDescent="0.25">
      <c r="A426" s="35">
        <v>458</v>
      </c>
      <c r="B426" s="92">
        <v>5</v>
      </c>
      <c r="C426" s="92">
        <v>120</v>
      </c>
      <c r="D426" s="35" t="s">
        <v>3689</v>
      </c>
      <c r="E426" s="35" t="s">
        <v>2566</v>
      </c>
      <c r="F426" s="35" t="s">
        <v>2567</v>
      </c>
      <c r="G426" s="35" t="s">
        <v>2568</v>
      </c>
      <c r="H426" s="35" t="s">
        <v>2569</v>
      </c>
      <c r="I426" s="35" t="s">
        <v>2570</v>
      </c>
      <c r="J426" s="35" t="s">
        <v>2567</v>
      </c>
      <c r="K426" s="35" t="s">
        <v>69</v>
      </c>
      <c r="L426" s="35" t="s">
        <v>2571</v>
      </c>
      <c r="M426" s="35" t="s">
        <v>95</v>
      </c>
      <c r="O426" s="35" t="s">
        <v>122</v>
      </c>
    </row>
    <row r="427" spans="1:15" ht="120" hidden="1" x14ac:dyDescent="0.25">
      <c r="A427" s="35">
        <v>459</v>
      </c>
      <c r="B427" s="92">
        <v>5</v>
      </c>
      <c r="C427" s="92">
        <v>121</v>
      </c>
      <c r="D427" s="35" t="s">
        <v>3689</v>
      </c>
      <c r="E427" s="35" t="s">
        <v>2572</v>
      </c>
      <c r="F427" s="35" t="s">
        <v>2573</v>
      </c>
      <c r="G427" s="35" t="s">
        <v>2574</v>
      </c>
      <c r="H427" s="35" t="s">
        <v>2575</v>
      </c>
      <c r="I427" s="35" t="s">
        <v>2576</v>
      </c>
      <c r="J427" s="35" t="s">
        <v>2573</v>
      </c>
      <c r="K427" s="35" t="s">
        <v>69</v>
      </c>
      <c r="L427" s="35" t="s">
        <v>2577</v>
      </c>
      <c r="M427" s="35" t="s">
        <v>536</v>
      </c>
      <c r="O427" s="35" t="s">
        <v>122</v>
      </c>
    </row>
    <row r="428" spans="1:15" ht="135" hidden="1" x14ac:dyDescent="0.25">
      <c r="A428" s="35">
        <v>460</v>
      </c>
      <c r="B428" s="92">
        <v>5</v>
      </c>
      <c r="C428" s="92">
        <v>122</v>
      </c>
      <c r="D428" s="35" t="s">
        <v>3689</v>
      </c>
      <c r="E428" s="35" t="s">
        <v>2578</v>
      </c>
      <c r="F428" s="35" t="s">
        <v>2579</v>
      </c>
      <c r="G428" s="35" t="s">
        <v>2580</v>
      </c>
      <c r="H428" s="35" t="s">
        <v>2581</v>
      </c>
      <c r="I428" s="35" t="s">
        <v>2582</v>
      </c>
      <c r="J428" s="35" t="s">
        <v>2580</v>
      </c>
      <c r="K428" s="35" t="s">
        <v>101</v>
      </c>
      <c r="L428" s="35" t="s">
        <v>2583</v>
      </c>
      <c r="M428" s="35" t="s">
        <v>536</v>
      </c>
      <c r="O428" s="35" t="s">
        <v>74</v>
      </c>
    </row>
    <row r="429" spans="1:15" ht="45" hidden="1" x14ac:dyDescent="0.25">
      <c r="A429" s="35">
        <v>461</v>
      </c>
      <c r="B429" s="92">
        <v>3</v>
      </c>
      <c r="C429" s="92">
        <v>131</v>
      </c>
      <c r="D429" s="35" t="s">
        <v>73</v>
      </c>
      <c r="E429" s="35" t="s">
        <v>2584</v>
      </c>
      <c r="F429" s="35" t="s">
        <v>114</v>
      </c>
      <c r="G429" s="35" t="s">
        <v>82</v>
      </c>
      <c r="H429" s="35" t="s">
        <v>2585</v>
      </c>
      <c r="I429" s="35" t="s">
        <v>69</v>
      </c>
      <c r="J429" s="35" t="s">
        <v>82</v>
      </c>
      <c r="K429" s="35" t="s">
        <v>101</v>
      </c>
      <c r="L429" s="35" t="s">
        <v>2586</v>
      </c>
      <c r="M429" s="35" t="s">
        <v>536</v>
      </c>
      <c r="O429" s="35" t="s">
        <v>74</v>
      </c>
    </row>
    <row r="430" spans="1:15" ht="270" hidden="1" x14ac:dyDescent="0.25">
      <c r="A430" s="35">
        <v>463</v>
      </c>
      <c r="B430" s="92">
        <v>3</v>
      </c>
      <c r="C430" s="92">
        <v>132</v>
      </c>
      <c r="D430" s="35" t="s">
        <v>73</v>
      </c>
      <c r="E430" s="35" t="s">
        <v>2588</v>
      </c>
      <c r="F430" s="35" t="s">
        <v>2589</v>
      </c>
      <c r="G430" s="35" t="s">
        <v>2590</v>
      </c>
      <c r="H430" s="35" t="s">
        <v>2591</v>
      </c>
      <c r="I430" s="35" t="s">
        <v>2592</v>
      </c>
      <c r="J430" s="35" t="s">
        <v>2592</v>
      </c>
      <c r="K430" s="35" t="s">
        <v>114</v>
      </c>
      <c r="L430" s="35" t="s">
        <v>2593</v>
      </c>
      <c r="M430" s="35" t="s">
        <v>536</v>
      </c>
      <c r="O430" s="35" t="s">
        <v>86</v>
      </c>
    </row>
    <row r="431" spans="1:15" ht="90" hidden="1" x14ac:dyDescent="0.25">
      <c r="A431" s="35">
        <v>464</v>
      </c>
      <c r="B431" s="92">
        <v>5</v>
      </c>
      <c r="C431" s="92">
        <v>123</v>
      </c>
      <c r="D431" s="35" t="s">
        <v>3689</v>
      </c>
      <c r="E431" s="35" t="s">
        <v>2594</v>
      </c>
      <c r="F431" s="35" t="s">
        <v>2595</v>
      </c>
      <c r="G431" s="35" t="s">
        <v>2596</v>
      </c>
      <c r="H431" s="35" t="s">
        <v>2597</v>
      </c>
      <c r="I431" s="35" t="s">
        <v>2598</v>
      </c>
      <c r="J431" s="35" t="s">
        <v>2597</v>
      </c>
      <c r="K431" s="35" t="s">
        <v>82</v>
      </c>
      <c r="L431" s="35" t="s">
        <v>2599</v>
      </c>
      <c r="M431" s="35" t="s">
        <v>536</v>
      </c>
      <c r="O431" s="35" t="s">
        <v>86</v>
      </c>
    </row>
    <row r="432" spans="1:15" ht="270" hidden="1" x14ac:dyDescent="0.25">
      <c r="A432" s="35">
        <v>465</v>
      </c>
      <c r="B432" s="92">
        <v>2</v>
      </c>
      <c r="C432" s="92">
        <v>121</v>
      </c>
      <c r="D432" s="35" t="s">
        <v>73</v>
      </c>
      <c r="E432" s="35" t="s">
        <v>2600</v>
      </c>
      <c r="F432" s="35" t="s">
        <v>2601</v>
      </c>
      <c r="G432" s="35" t="s">
        <v>2602</v>
      </c>
      <c r="H432" s="35" t="s">
        <v>2603</v>
      </c>
      <c r="I432" s="35" t="s">
        <v>2604</v>
      </c>
      <c r="J432" s="35" t="s">
        <v>2601</v>
      </c>
      <c r="K432" s="35" t="s">
        <v>69</v>
      </c>
      <c r="L432" s="35" t="s">
        <v>2605</v>
      </c>
      <c r="M432" s="35" t="s">
        <v>95</v>
      </c>
      <c r="O432" s="35" t="s">
        <v>86</v>
      </c>
    </row>
    <row r="433" spans="1:15" ht="105" hidden="1" x14ac:dyDescent="0.25">
      <c r="A433" s="35">
        <v>466</v>
      </c>
      <c r="B433" s="92">
        <v>3</v>
      </c>
      <c r="C433" s="92">
        <v>133</v>
      </c>
      <c r="D433" s="35" t="s">
        <v>73</v>
      </c>
      <c r="E433" s="35" t="s">
        <v>2606</v>
      </c>
      <c r="F433" s="35" t="s">
        <v>2607</v>
      </c>
      <c r="G433" s="35" t="s">
        <v>2608</v>
      </c>
      <c r="H433" s="35" t="s">
        <v>2609</v>
      </c>
      <c r="I433" s="35" t="s">
        <v>2610</v>
      </c>
      <c r="J433" s="35" t="s">
        <v>2609</v>
      </c>
      <c r="K433" s="35" t="s">
        <v>82</v>
      </c>
      <c r="L433" s="35" t="s">
        <v>2611</v>
      </c>
      <c r="M433" s="35" t="s">
        <v>536</v>
      </c>
      <c r="O433" s="35" t="s">
        <v>86</v>
      </c>
    </row>
    <row r="434" spans="1:15" ht="105" hidden="1" x14ac:dyDescent="0.25">
      <c r="A434" s="35">
        <v>467</v>
      </c>
      <c r="B434" s="92">
        <v>3</v>
      </c>
      <c r="C434" s="92">
        <v>134</v>
      </c>
      <c r="D434" s="35" t="s">
        <v>73</v>
      </c>
      <c r="E434" s="35" t="s">
        <v>2612</v>
      </c>
      <c r="F434" s="35" t="s">
        <v>2613</v>
      </c>
      <c r="G434" s="35" t="s">
        <v>1394</v>
      </c>
      <c r="H434" s="35" t="s">
        <v>2614</v>
      </c>
      <c r="I434" s="35" t="s">
        <v>2615</v>
      </c>
      <c r="J434" s="35" t="s">
        <v>2614</v>
      </c>
      <c r="K434" s="35" t="s">
        <v>82</v>
      </c>
      <c r="L434" s="35" t="s">
        <v>2616</v>
      </c>
      <c r="M434" s="35" t="s">
        <v>536</v>
      </c>
      <c r="O434" s="35" t="s">
        <v>122</v>
      </c>
    </row>
    <row r="435" spans="1:15" ht="165" hidden="1" x14ac:dyDescent="0.25">
      <c r="A435" s="35">
        <v>468</v>
      </c>
      <c r="B435" s="92">
        <v>2</v>
      </c>
      <c r="C435" s="92">
        <v>122</v>
      </c>
      <c r="D435" s="35" t="s">
        <v>73</v>
      </c>
      <c r="E435" s="35" t="s">
        <v>2617</v>
      </c>
      <c r="F435" s="35" t="s">
        <v>2618</v>
      </c>
      <c r="G435" s="35" t="s">
        <v>2619</v>
      </c>
      <c r="H435" s="35" t="s">
        <v>2620</v>
      </c>
      <c r="I435" s="35" t="s">
        <v>2621</v>
      </c>
      <c r="J435" s="35" t="s">
        <v>2621</v>
      </c>
      <c r="K435" s="35" t="s">
        <v>114</v>
      </c>
      <c r="L435" s="35" t="s">
        <v>2622</v>
      </c>
      <c r="M435" s="35" t="s">
        <v>95</v>
      </c>
      <c r="O435" s="35" t="s">
        <v>74</v>
      </c>
    </row>
    <row r="436" spans="1:15" ht="120" hidden="1" x14ac:dyDescent="0.25">
      <c r="A436" s="35">
        <v>469</v>
      </c>
      <c r="B436" s="92">
        <v>5</v>
      </c>
      <c r="C436" s="92">
        <v>124</v>
      </c>
      <c r="D436" s="35" t="s">
        <v>3689</v>
      </c>
      <c r="E436" s="35" t="s">
        <v>2623</v>
      </c>
      <c r="F436" s="35" t="s">
        <v>2624</v>
      </c>
      <c r="G436" s="35" t="s">
        <v>2625</v>
      </c>
      <c r="H436" s="35" t="s">
        <v>2626</v>
      </c>
      <c r="I436" s="35" t="s">
        <v>2627</v>
      </c>
      <c r="J436" s="35" t="s">
        <v>2627</v>
      </c>
      <c r="K436" s="35" t="s">
        <v>114</v>
      </c>
      <c r="L436" s="35" t="s">
        <v>2628</v>
      </c>
      <c r="M436" s="35" t="s">
        <v>95</v>
      </c>
      <c r="O436" s="35" t="s">
        <v>74</v>
      </c>
    </row>
    <row r="437" spans="1:15" ht="90" hidden="1" x14ac:dyDescent="0.25">
      <c r="A437" s="35">
        <v>470</v>
      </c>
      <c r="B437" s="92">
        <v>2</v>
      </c>
      <c r="C437" s="92">
        <v>123</v>
      </c>
      <c r="D437" s="35" t="s">
        <v>73</v>
      </c>
      <c r="E437" s="35" t="s">
        <v>2629</v>
      </c>
      <c r="F437" s="35" t="s">
        <v>2630</v>
      </c>
      <c r="G437" s="35" t="s">
        <v>2631</v>
      </c>
      <c r="H437" s="35" t="s">
        <v>2632</v>
      </c>
      <c r="I437" s="35" t="s">
        <v>2633</v>
      </c>
      <c r="J437" s="35" t="s">
        <v>2630</v>
      </c>
      <c r="K437" s="35" t="s">
        <v>69</v>
      </c>
      <c r="L437" s="35" t="s">
        <v>2634</v>
      </c>
      <c r="M437" s="35" t="s">
        <v>95</v>
      </c>
      <c r="O437" s="35" t="s">
        <v>86</v>
      </c>
    </row>
    <row r="438" spans="1:15" ht="90" hidden="1" x14ac:dyDescent="0.25">
      <c r="A438" s="35">
        <v>471</v>
      </c>
      <c r="B438" s="92">
        <v>5</v>
      </c>
      <c r="C438" s="92">
        <v>125</v>
      </c>
      <c r="D438" s="35" t="s">
        <v>3689</v>
      </c>
      <c r="E438" s="35" t="s">
        <v>2635</v>
      </c>
      <c r="F438" s="35" t="s">
        <v>2636</v>
      </c>
      <c r="G438" s="35" t="s">
        <v>331</v>
      </c>
      <c r="H438" s="35" t="s">
        <v>2637</v>
      </c>
      <c r="I438" s="35" t="s">
        <v>330</v>
      </c>
      <c r="J438" s="35" t="s">
        <v>2637</v>
      </c>
      <c r="K438" s="35" t="s">
        <v>82</v>
      </c>
      <c r="L438" s="35" t="s">
        <v>2638</v>
      </c>
      <c r="M438" s="35" t="s">
        <v>95</v>
      </c>
      <c r="O438" s="35" t="s">
        <v>86</v>
      </c>
    </row>
    <row r="439" spans="1:15" ht="105" hidden="1" x14ac:dyDescent="0.25">
      <c r="A439" s="35">
        <v>472</v>
      </c>
      <c r="B439" s="92">
        <v>5</v>
      </c>
      <c r="C439" s="92">
        <v>126</v>
      </c>
      <c r="D439" s="35" t="s">
        <v>3689</v>
      </c>
      <c r="E439" s="35" t="s">
        <v>2639</v>
      </c>
      <c r="F439" s="35" t="s">
        <v>2640</v>
      </c>
      <c r="G439" s="35" t="s">
        <v>2641</v>
      </c>
      <c r="H439" s="35" t="s">
        <v>2642</v>
      </c>
      <c r="I439" s="35" t="s">
        <v>2643</v>
      </c>
      <c r="J439" s="35" t="s">
        <v>2640</v>
      </c>
      <c r="K439" s="35" t="s">
        <v>69</v>
      </c>
      <c r="L439" s="35" t="s">
        <v>2644</v>
      </c>
      <c r="M439" s="35" t="s">
        <v>536</v>
      </c>
      <c r="O439" s="35" t="s">
        <v>86</v>
      </c>
    </row>
    <row r="440" spans="1:15" ht="105" hidden="1" x14ac:dyDescent="0.25">
      <c r="A440" s="35">
        <v>473</v>
      </c>
      <c r="B440" s="92">
        <v>3</v>
      </c>
      <c r="C440" s="92">
        <v>135</v>
      </c>
      <c r="D440" s="35" t="s">
        <v>73</v>
      </c>
      <c r="E440" s="35" t="s">
        <v>2645</v>
      </c>
      <c r="F440" s="35" t="s">
        <v>2646</v>
      </c>
      <c r="G440" s="35" t="s">
        <v>2647</v>
      </c>
      <c r="H440" s="35" t="s">
        <v>2648</v>
      </c>
      <c r="I440" s="35" t="s">
        <v>2649</v>
      </c>
      <c r="J440" s="35" t="s">
        <v>2648</v>
      </c>
      <c r="K440" s="35" t="s">
        <v>82</v>
      </c>
      <c r="L440" s="35" t="s">
        <v>2650</v>
      </c>
      <c r="M440" s="35" t="s">
        <v>536</v>
      </c>
      <c r="O440" s="35" t="s">
        <v>86</v>
      </c>
    </row>
    <row r="441" spans="1:15" ht="135" hidden="1" x14ac:dyDescent="0.25">
      <c r="A441" s="35">
        <v>474</v>
      </c>
      <c r="B441" s="92">
        <v>3</v>
      </c>
      <c r="C441" s="92">
        <v>136</v>
      </c>
      <c r="D441" s="35" t="s">
        <v>73</v>
      </c>
      <c r="E441" s="35" t="s">
        <v>2651</v>
      </c>
      <c r="F441" s="35" t="s">
        <v>2652</v>
      </c>
      <c r="G441" s="35" t="s">
        <v>2653</v>
      </c>
      <c r="H441" s="35" t="s">
        <v>2654</v>
      </c>
      <c r="I441" s="35" t="s">
        <v>2655</v>
      </c>
      <c r="J441" s="35" t="s">
        <v>2655</v>
      </c>
      <c r="K441" s="35" t="s">
        <v>114</v>
      </c>
      <c r="L441" s="35" t="s">
        <v>2656</v>
      </c>
      <c r="M441" s="35" t="s">
        <v>536</v>
      </c>
      <c r="O441" s="35" t="s">
        <v>86</v>
      </c>
    </row>
    <row r="442" spans="1:15" ht="60" hidden="1" x14ac:dyDescent="0.25">
      <c r="A442" s="35">
        <v>475</v>
      </c>
      <c r="B442" s="92">
        <v>2</v>
      </c>
      <c r="C442" s="92">
        <v>124</v>
      </c>
      <c r="D442" s="35" t="s">
        <v>73</v>
      </c>
      <c r="E442" s="35" t="s">
        <v>2657</v>
      </c>
      <c r="F442" s="35" t="s">
        <v>2658</v>
      </c>
      <c r="G442" s="35" t="s">
        <v>981</v>
      </c>
      <c r="H442" s="35" t="s">
        <v>2659</v>
      </c>
      <c r="I442" s="35" t="s">
        <v>2660</v>
      </c>
      <c r="J442" s="35" t="s">
        <v>2660</v>
      </c>
      <c r="K442" s="35" t="s">
        <v>114</v>
      </c>
      <c r="L442" s="35" t="s">
        <v>2661</v>
      </c>
      <c r="M442" s="35" t="s">
        <v>95</v>
      </c>
      <c r="O442" s="35" t="s">
        <v>122</v>
      </c>
    </row>
    <row r="443" spans="1:15" ht="105" hidden="1" x14ac:dyDescent="0.25">
      <c r="A443" s="35">
        <v>476</v>
      </c>
      <c r="B443" s="92">
        <v>3</v>
      </c>
      <c r="C443" s="92">
        <v>137</v>
      </c>
      <c r="D443" s="35" t="s">
        <v>73</v>
      </c>
      <c r="E443" s="35" t="s">
        <v>2662</v>
      </c>
      <c r="F443" s="35" t="s">
        <v>2663</v>
      </c>
      <c r="G443" s="35" t="s">
        <v>2664</v>
      </c>
      <c r="H443" s="35" t="s">
        <v>2665</v>
      </c>
      <c r="I443" s="35" t="s">
        <v>2666</v>
      </c>
      <c r="J443" s="35" t="s">
        <v>2664</v>
      </c>
      <c r="K443" s="35" t="s">
        <v>101</v>
      </c>
      <c r="L443" s="35" t="s">
        <v>2667</v>
      </c>
      <c r="M443" s="35" t="s">
        <v>536</v>
      </c>
      <c r="O443" s="35" t="s">
        <v>122</v>
      </c>
    </row>
    <row r="444" spans="1:15" ht="75" hidden="1" x14ac:dyDescent="0.25">
      <c r="A444" s="35">
        <v>478</v>
      </c>
      <c r="B444" s="92">
        <v>5</v>
      </c>
      <c r="C444" s="92">
        <v>127</v>
      </c>
      <c r="D444" s="35" t="s">
        <v>3689</v>
      </c>
      <c r="E444" s="35" t="s">
        <v>2668</v>
      </c>
      <c r="F444" s="35" t="s">
        <v>2669</v>
      </c>
      <c r="G444" s="35" t="s">
        <v>2670</v>
      </c>
      <c r="H444" s="35" t="s">
        <v>2671</v>
      </c>
      <c r="I444" s="35" t="s">
        <v>2672</v>
      </c>
      <c r="J444" s="35" t="s">
        <v>2672</v>
      </c>
      <c r="K444" s="35" t="s">
        <v>114</v>
      </c>
      <c r="L444" s="35" t="s">
        <v>2673</v>
      </c>
      <c r="M444" s="35" t="s">
        <v>72</v>
      </c>
      <c r="O444" s="35" t="s">
        <v>86</v>
      </c>
    </row>
    <row r="445" spans="1:15" ht="75" hidden="1" x14ac:dyDescent="0.25">
      <c r="A445" s="35">
        <v>479</v>
      </c>
      <c r="B445" s="92">
        <v>2</v>
      </c>
      <c r="C445" s="92">
        <v>125</v>
      </c>
      <c r="D445" s="35" t="s">
        <v>73</v>
      </c>
      <c r="E445" s="35" t="s">
        <v>2674</v>
      </c>
      <c r="F445" s="35" t="s">
        <v>2675</v>
      </c>
      <c r="G445" s="35" t="s">
        <v>2676</v>
      </c>
      <c r="H445" s="35" t="s">
        <v>2677</v>
      </c>
      <c r="I445" s="35" t="s">
        <v>2678</v>
      </c>
      <c r="J445" s="35" t="s">
        <v>2676</v>
      </c>
      <c r="K445" s="35" t="s">
        <v>101</v>
      </c>
      <c r="L445" s="35" t="s">
        <v>2679</v>
      </c>
      <c r="M445" s="35" t="s">
        <v>95</v>
      </c>
      <c r="O445" s="35" t="s">
        <v>86</v>
      </c>
    </row>
    <row r="446" spans="1:15" ht="75" hidden="1" x14ac:dyDescent="0.25">
      <c r="A446" s="35">
        <v>480</v>
      </c>
      <c r="B446" s="92">
        <v>5</v>
      </c>
      <c r="C446" s="92">
        <v>128</v>
      </c>
      <c r="D446" s="35" t="s">
        <v>3689</v>
      </c>
      <c r="E446" s="35" t="s">
        <v>2680</v>
      </c>
      <c r="F446" s="35" t="s">
        <v>2681</v>
      </c>
      <c r="G446" s="35" t="s">
        <v>2682</v>
      </c>
      <c r="H446" s="35" t="s">
        <v>2683</v>
      </c>
      <c r="I446" s="35" t="s">
        <v>2684</v>
      </c>
      <c r="J446" s="35" t="s">
        <v>2684</v>
      </c>
      <c r="K446" s="35" t="s">
        <v>114</v>
      </c>
      <c r="L446" s="35" t="s">
        <v>2685</v>
      </c>
      <c r="M446" s="35" t="s">
        <v>95</v>
      </c>
      <c r="O446" s="35" t="s">
        <v>86</v>
      </c>
    </row>
    <row r="447" spans="1:15" ht="90" hidden="1" x14ac:dyDescent="0.25">
      <c r="A447" s="35">
        <v>481</v>
      </c>
      <c r="B447" s="92">
        <v>2</v>
      </c>
      <c r="C447" s="92">
        <v>126</v>
      </c>
      <c r="D447" s="35" t="s">
        <v>73</v>
      </c>
      <c r="E447" s="35" t="s">
        <v>2686</v>
      </c>
      <c r="F447" s="35" t="s">
        <v>2687</v>
      </c>
      <c r="G447" s="35" t="s">
        <v>2688</v>
      </c>
      <c r="H447" s="35" t="s">
        <v>2689</v>
      </c>
      <c r="I447" s="35" t="s">
        <v>2690</v>
      </c>
      <c r="J447" s="35" t="s">
        <v>2688</v>
      </c>
      <c r="K447" s="35" t="s">
        <v>101</v>
      </c>
      <c r="L447" s="35" t="s">
        <v>2691</v>
      </c>
      <c r="M447" s="35" t="s">
        <v>95</v>
      </c>
      <c r="O447" s="35" t="s">
        <v>86</v>
      </c>
    </row>
    <row r="448" spans="1:15" ht="165" x14ac:dyDescent="0.25">
      <c r="A448" s="35">
        <v>482</v>
      </c>
      <c r="B448" s="92">
        <v>1</v>
      </c>
      <c r="C448" s="92">
        <v>51</v>
      </c>
      <c r="D448" s="35" t="s">
        <v>73</v>
      </c>
      <c r="E448" s="35" t="s">
        <v>2692</v>
      </c>
      <c r="F448" s="35" t="s">
        <v>2693</v>
      </c>
      <c r="G448" s="35" t="s">
        <v>2694</v>
      </c>
      <c r="H448" s="35" t="s">
        <v>2695</v>
      </c>
      <c r="I448" s="35" t="s">
        <v>2696</v>
      </c>
      <c r="J448" s="35" t="s">
        <v>2695</v>
      </c>
      <c r="K448" s="35" t="s">
        <v>82</v>
      </c>
      <c r="L448" s="35" t="s">
        <v>2697</v>
      </c>
      <c r="M448" s="35" t="s">
        <v>72</v>
      </c>
      <c r="O448" s="35" t="s">
        <v>86</v>
      </c>
    </row>
    <row r="449" spans="1:15" ht="165" hidden="1" x14ac:dyDescent="0.25">
      <c r="A449" s="35">
        <v>483</v>
      </c>
      <c r="B449" s="92">
        <v>5</v>
      </c>
      <c r="C449" s="92">
        <v>129</v>
      </c>
      <c r="D449" s="35" t="s">
        <v>3689</v>
      </c>
      <c r="E449" s="35" t="s">
        <v>2698</v>
      </c>
      <c r="F449" s="35" t="s">
        <v>2699</v>
      </c>
      <c r="G449" s="35" t="s">
        <v>2700</v>
      </c>
      <c r="H449" s="35" t="s">
        <v>2701</v>
      </c>
      <c r="I449" s="35" t="s">
        <v>2702</v>
      </c>
      <c r="J449" s="35" t="s">
        <v>2699</v>
      </c>
      <c r="K449" s="35" t="s">
        <v>69</v>
      </c>
      <c r="L449" s="35" t="s">
        <v>2703</v>
      </c>
      <c r="M449" s="35" t="s">
        <v>72</v>
      </c>
      <c r="O449" s="35" t="s">
        <v>86</v>
      </c>
    </row>
    <row r="450" spans="1:15" ht="135" hidden="1" x14ac:dyDescent="0.25">
      <c r="A450" s="35">
        <v>484</v>
      </c>
      <c r="B450" s="92">
        <v>2</v>
      </c>
      <c r="C450" s="92">
        <v>127</v>
      </c>
      <c r="D450" s="35" t="s">
        <v>73</v>
      </c>
      <c r="E450" s="35" t="s">
        <v>2704</v>
      </c>
      <c r="F450" s="35" t="s">
        <v>2705</v>
      </c>
      <c r="G450" s="35" t="s">
        <v>2706</v>
      </c>
      <c r="H450" s="35" t="s">
        <v>2707</v>
      </c>
      <c r="I450" s="35" t="s">
        <v>2708</v>
      </c>
      <c r="J450" s="35" t="s">
        <v>2705</v>
      </c>
      <c r="K450" s="35" t="s">
        <v>69</v>
      </c>
      <c r="L450" s="35" t="s">
        <v>2709</v>
      </c>
      <c r="M450" s="35" t="s">
        <v>95</v>
      </c>
      <c r="O450" s="35" t="s">
        <v>122</v>
      </c>
    </row>
    <row r="451" spans="1:15" ht="90" x14ac:dyDescent="0.25">
      <c r="A451" s="35">
        <v>485</v>
      </c>
      <c r="B451" s="92">
        <v>1</v>
      </c>
      <c r="C451" s="92">
        <v>52</v>
      </c>
      <c r="D451" s="35" t="s">
        <v>73</v>
      </c>
      <c r="E451" s="35" t="s">
        <v>2710</v>
      </c>
      <c r="F451" s="35" t="s">
        <v>2711</v>
      </c>
      <c r="G451" s="35" t="s">
        <v>2712</v>
      </c>
      <c r="H451" s="35" t="s">
        <v>2713</v>
      </c>
      <c r="I451" s="35" t="s">
        <v>2714</v>
      </c>
      <c r="J451" s="35" t="s">
        <v>2712</v>
      </c>
      <c r="K451" s="35" t="s">
        <v>101</v>
      </c>
      <c r="L451" s="35" t="s">
        <v>2715</v>
      </c>
      <c r="M451" s="35" t="s">
        <v>72</v>
      </c>
      <c r="O451" s="35" t="s">
        <v>86</v>
      </c>
    </row>
    <row r="452" spans="1:15" ht="75" hidden="1" x14ac:dyDescent="0.25">
      <c r="A452" s="35">
        <v>486</v>
      </c>
      <c r="B452" s="92">
        <v>2</v>
      </c>
      <c r="C452" s="92">
        <v>128</v>
      </c>
      <c r="D452" s="35" t="s">
        <v>73</v>
      </c>
      <c r="E452" s="35" t="s">
        <v>2716</v>
      </c>
      <c r="F452" s="35" t="s">
        <v>2198</v>
      </c>
      <c r="G452" s="35" t="s">
        <v>2717</v>
      </c>
      <c r="H452" s="35" t="s">
        <v>2718</v>
      </c>
      <c r="I452" s="35" t="s">
        <v>2719</v>
      </c>
      <c r="J452" s="35" t="s">
        <v>2719</v>
      </c>
      <c r="K452" s="35" t="s">
        <v>114</v>
      </c>
      <c r="L452" s="35" t="s">
        <v>2720</v>
      </c>
      <c r="M452" s="35" t="s">
        <v>95</v>
      </c>
      <c r="O452" s="35" t="s">
        <v>74</v>
      </c>
    </row>
    <row r="453" spans="1:15" ht="75" x14ac:dyDescent="0.25">
      <c r="A453" s="35">
        <v>487</v>
      </c>
      <c r="B453" s="92">
        <v>1</v>
      </c>
      <c r="C453" s="92">
        <v>53</v>
      </c>
      <c r="D453" s="35" t="s">
        <v>73</v>
      </c>
      <c r="E453" s="35" t="s">
        <v>2721</v>
      </c>
      <c r="F453" s="35" t="s">
        <v>2722</v>
      </c>
      <c r="G453" s="35" t="s">
        <v>2723</v>
      </c>
      <c r="H453" s="35" t="s">
        <v>170</v>
      </c>
      <c r="I453" s="35" t="s">
        <v>2724</v>
      </c>
      <c r="J453" s="35" t="s">
        <v>170</v>
      </c>
      <c r="K453" s="35" t="s">
        <v>82</v>
      </c>
      <c r="L453" s="35" t="s">
        <v>2725</v>
      </c>
      <c r="M453" s="35" t="s">
        <v>72</v>
      </c>
      <c r="O453" s="35" t="s">
        <v>74</v>
      </c>
    </row>
    <row r="454" spans="1:15" ht="90" x14ac:dyDescent="0.25">
      <c r="A454" s="35">
        <v>489</v>
      </c>
      <c r="B454" s="92">
        <v>1</v>
      </c>
      <c r="C454" s="92">
        <v>54</v>
      </c>
      <c r="D454" s="35" t="s">
        <v>73</v>
      </c>
      <c r="E454" s="35" t="s">
        <v>2726</v>
      </c>
      <c r="F454" s="35" t="s">
        <v>2727</v>
      </c>
      <c r="G454" s="35" t="s">
        <v>2728</v>
      </c>
      <c r="H454" s="35" t="s">
        <v>2729</v>
      </c>
      <c r="I454" s="35" t="s">
        <v>2730</v>
      </c>
      <c r="J454" s="35" t="s">
        <v>2728</v>
      </c>
      <c r="K454" s="35" t="s">
        <v>101</v>
      </c>
      <c r="L454" s="35" t="s">
        <v>2731</v>
      </c>
      <c r="M454" s="35" t="s">
        <v>72</v>
      </c>
      <c r="O454" s="35" t="s">
        <v>74</v>
      </c>
    </row>
    <row r="455" spans="1:15" ht="90" hidden="1" x14ac:dyDescent="0.25">
      <c r="A455" s="35">
        <v>490</v>
      </c>
      <c r="B455" s="92">
        <v>5</v>
      </c>
      <c r="C455" s="92">
        <v>130</v>
      </c>
      <c r="D455" s="35" t="s">
        <v>3689</v>
      </c>
      <c r="E455" s="35" t="s">
        <v>2732</v>
      </c>
      <c r="F455" s="35" t="s">
        <v>2733</v>
      </c>
      <c r="G455" s="35" t="s">
        <v>2734</v>
      </c>
      <c r="H455" s="35" t="s">
        <v>2735</v>
      </c>
      <c r="I455" s="35" t="s">
        <v>2736</v>
      </c>
      <c r="J455" s="35" t="s">
        <v>2733</v>
      </c>
      <c r="K455" s="35" t="s">
        <v>69</v>
      </c>
      <c r="L455" s="35" t="s">
        <v>2737</v>
      </c>
      <c r="M455" s="35" t="s">
        <v>72</v>
      </c>
      <c r="O455" s="35" t="s">
        <v>74</v>
      </c>
    </row>
    <row r="456" spans="1:15" ht="90" x14ac:dyDescent="0.25">
      <c r="A456" s="35">
        <v>491</v>
      </c>
      <c r="B456" s="92">
        <v>1</v>
      </c>
      <c r="C456" s="92">
        <v>55</v>
      </c>
      <c r="D456" s="35" t="s">
        <v>73</v>
      </c>
      <c r="E456" s="93" t="s">
        <v>2738</v>
      </c>
      <c r="F456" s="35" t="s">
        <v>2739</v>
      </c>
      <c r="G456" s="35" t="s">
        <v>2740</v>
      </c>
      <c r="H456" s="35" t="s">
        <v>1359</v>
      </c>
      <c r="I456" s="35" t="s">
        <v>2741</v>
      </c>
      <c r="J456" s="35" t="s">
        <v>2740</v>
      </c>
      <c r="K456" s="35" t="s">
        <v>101</v>
      </c>
      <c r="L456" s="93" t="s">
        <v>2742</v>
      </c>
      <c r="M456" s="35" t="s">
        <v>72</v>
      </c>
      <c r="O456" s="35" t="s">
        <v>74</v>
      </c>
    </row>
    <row r="457" spans="1:15" ht="60" hidden="1" x14ac:dyDescent="0.25">
      <c r="A457" s="35">
        <v>492</v>
      </c>
      <c r="B457" s="92">
        <v>5</v>
      </c>
      <c r="C457" s="92">
        <v>131</v>
      </c>
      <c r="D457" s="35" t="s">
        <v>3689</v>
      </c>
      <c r="E457" s="35" t="s">
        <v>2743</v>
      </c>
      <c r="F457" s="35" t="s">
        <v>2744</v>
      </c>
      <c r="G457" s="35" t="s">
        <v>2745</v>
      </c>
      <c r="H457" s="35" t="s">
        <v>2746</v>
      </c>
      <c r="I457" s="35" t="s">
        <v>2747</v>
      </c>
      <c r="J457" s="35" t="s">
        <v>2744</v>
      </c>
      <c r="K457" s="35" t="s">
        <v>69</v>
      </c>
      <c r="L457" s="35" t="s">
        <v>2748</v>
      </c>
      <c r="M457" s="35" t="s">
        <v>95</v>
      </c>
      <c r="O457" s="35" t="s">
        <v>74</v>
      </c>
    </row>
    <row r="458" spans="1:15" ht="75" hidden="1" x14ac:dyDescent="0.25">
      <c r="A458" s="35">
        <v>493</v>
      </c>
      <c r="B458" s="92">
        <v>5</v>
      </c>
      <c r="C458" s="92">
        <v>132</v>
      </c>
      <c r="D458" s="35" t="s">
        <v>3689</v>
      </c>
      <c r="E458" s="35" t="s">
        <v>2749</v>
      </c>
      <c r="F458" s="35" t="s">
        <v>2750</v>
      </c>
      <c r="G458" s="35" t="s">
        <v>2751</v>
      </c>
      <c r="H458" s="35" t="s">
        <v>2752</v>
      </c>
      <c r="I458" s="35" t="s">
        <v>2753</v>
      </c>
      <c r="J458" s="35" t="s">
        <v>2750</v>
      </c>
      <c r="K458" s="35" t="s">
        <v>69</v>
      </c>
      <c r="L458" s="35" t="s">
        <v>2754</v>
      </c>
      <c r="M458" s="35" t="s">
        <v>536</v>
      </c>
      <c r="O458" s="35" t="s">
        <v>86</v>
      </c>
    </row>
    <row r="459" spans="1:15" ht="90" x14ac:dyDescent="0.25">
      <c r="A459" s="35">
        <v>494</v>
      </c>
      <c r="B459" s="92">
        <v>1</v>
      </c>
      <c r="C459" s="92">
        <v>56</v>
      </c>
      <c r="D459" s="35" t="s">
        <v>73</v>
      </c>
      <c r="E459" s="35" t="s">
        <v>2755</v>
      </c>
      <c r="F459" s="35" t="s">
        <v>2756</v>
      </c>
      <c r="G459" s="35" t="s">
        <v>2757</v>
      </c>
      <c r="H459" s="35" t="s">
        <v>2758</v>
      </c>
      <c r="I459" s="35" t="s">
        <v>2759</v>
      </c>
      <c r="J459" s="35" t="s">
        <v>2759</v>
      </c>
      <c r="K459" s="35" t="s">
        <v>114</v>
      </c>
      <c r="L459" s="35" t="s">
        <v>2760</v>
      </c>
      <c r="M459" s="35" t="s">
        <v>72</v>
      </c>
      <c r="O459" s="35" t="s">
        <v>86</v>
      </c>
    </row>
    <row r="460" spans="1:15" ht="120" hidden="1" x14ac:dyDescent="0.25">
      <c r="A460" s="35">
        <v>495</v>
      </c>
      <c r="B460" s="92">
        <v>3</v>
      </c>
      <c r="C460" s="92">
        <v>138</v>
      </c>
      <c r="D460" s="35" t="s">
        <v>73</v>
      </c>
      <c r="E460" s="35" t="s">
        <v>2761</v>
      </c>
      <c r="F460" s="35" t="s">
        <v>2762</v>
      </c>
      <c r="G460" s="35" t="s">
        <v>2763</v>
      </c>
      <c r="H460" s="35" t="s">
        <v>2764</v>
      </c>
      <c r="I460" s="35" t="s">
        <v>2765</v>
      </c>
      <c r="J460" s="35" t="s">
        <v>2764</v>
      </c>
      <c r="K460" s="35" t="s">
        <v>82</v>
      </c>
      <c r="L460" s="35" t="s">
        <v>2766</v>
      </c>
      <c r="M460" s="35" t="s">
        <v>536</v>
      </c>
      <c r="O460" s="35" t="s">
        <v>86</v>
      </c>
    </row>
    <row r="461" spans="1:15" ht="75" hidden="1" x14ac:dyDescent="0.25">
      <c r="A461" s="35">
        <v>496</v>
      </c>
      <c r="B461" s="92">
        <v>5</v>
      </c>
      <c r="C461" s="92">
        <v>133</v>
      </c>
      <c r="D461" s="35" t="s">
        <v>3689</v>
      </c>
      <c r="E461" s="35" t="s">
        <v>2767</v>
      </c>
      <c r="F461" s="35" t="s">
        <v>2768</v>
      </c>
      <c r="G461" s="35" t="s">
        <v>2769</v>
      </c>
      <c r="H461" s="35" t="s">
        <v>2770</v>
      </c>
      <c r="I461" s="35" t="s">
        <v>2771</v>
      </c>
      <c r="J461" s="35" t="s">
        <v>2768</v>
      </c>
      <c r="K461" s="35" t="s">
        <v>69</v>
      </c>
      <c r="L461" s="35" t="s">
        <v>2772</v>
      </c>
      <c r="M461" s="35" t="s">
        <v>536</v>
      </c>
      <c r="O461" s="35" t="s">
        <v>74</v>
      </c>
    </row>
    <row r="462" spans="1:15" ht="75" hidden="1" x14ac:dyDescent="0.25">
      <c r="A462" s="35">
        <v>497</v>
      </c>
      <c r="B462" s="92">
        <v>3</v>
      </c>
      <c r="C462" s="92">
        <v>139</v>
      </c>
      <c r="D462" s="35" t="s">
        <v>73</v>
      </c>
      <c r="E462" s="35" t="s">
        <v>2773</v>
      </c>
      <c r="F462" s="35" t="s">
        <v>2774</v>
      </c>
      <c r="G462" s="35" t="s">
        <v>2775</v>
      </c>
      <c r="H462" s="35" t="s">
        <v>2776</v>
      </c>
      <c r="I462" s="35" t="s">
        <v>2777</v>
      </c>
      <c r="J462" s="35" t="s">
        <v>2775</v>
      </c>
      <c r="K462" s="35" t="s">
        <v>101</v>
      </c>
      <c r="L462" s="35" t="s">
        <v>2778</v>
      </c>
      <c r="M462" s="35" t="s">
        <v>536</v>
      </c>
      <c r="O462" s="35" t="s">
        <v>86</v>
      </c>
    </row>
    <row r="463" spans="1:15" ht="135" hidden="1" x14ac:dyDescent="0.25">
      <c r="A463" s="35">
        <v>498</v>
      </c>
      <c r="B463" s="92">
        <v>5</v>
      </c>
      <c r="C463" s="92">
        <v>134</v>
      </c>
      <c r="D463" s="35" t="s">
        <v>3689</v>
      </c>
      <c r="E463" s="35" t="s">
        <v>2779</v>
      </c>
      <c r="F463" s="35" t="s">
        <v>1639</v>
      </c>
      <c r="G463" s="35" t="s">
        <v>689</v>
      </c>
      <c r="H463" s="35" t="s">
        <v>692</v>
      </c>
      <c r="I463" s="35" t="s">
        <v>2780</v>
      </c>
      <c r="J463" s="35" t="s">
        <v>2780</v>
      </c>
      <c r="K463" s="35" t="s">
        <v>114</v>
      </c>
      <c r="L463" s="35" t="s">
        <v>2781</v>
      </c>
      <c r="M463" s="35" t="s">
        <v>536</v>
      </c>
      <c r="O463" s="35" t="s">
        <v>86</v>
      </c>
    </row>
    <row r="464" spans="1:15" ht="90" hidden="1" x14ac:dyDescent="0.25">
      <c r="A464" s="35">
        <v>499</v>
      </c>
      <c r="B464" s="92">
        <v>5</v>
      </c>
      <c r="C464" s="92">
        <v>135</v>
      </c>
      <c r="D464" s="35" t="s">
        <v>3689</v>
      </c>
      <c r="E464" s="35" t="s">
        <v>2782</v>
      </c>
      <c r="F464" s="35" t="s">
        <v>2762</v>
      </c>
      <c r="G464" s="35" t="s">
        <v>2783</v>
      </c>
      <c r="H464" s="35" t="s">
        <v>2784</v>
      </c>
      <c r="I464" s="35" t="s">
        <v>2785</v>
      </c>
      <c r="J464" s="35" t="s">
        <v>2785</v>
      </c>
      <c r="K464" s="35" t="s">
        <v>114</v>
      </c>
      <c r="L464" s="35" t="s">
        <v>2786</v>
      </c>
      <c r="M464" s="35" t="s">
        <v>536</v>
      </c>
      <c r="O464" s="35" t="s">
        <v>122</v>
      </c>
    </row>
    <row r="465" spans="1:15" ht="150" x14ac:dyDescent="0.25">
      <c r="A465" s="35">
        <v>500</v>
      </c>
      <c r="B465" s="92">
        <v>1</v>
      </c>
      <c r="C465" s="92">
        <v>57</v>
      </c>
      <c r="D465" s="35" t="s">
        <v>73</v>
      </c>
      <c r="E465" s="35" t="s">
        <v>2787</v>
      </c>
      <c r="F465" s="35" t="s">
        <v>2788</v>
      </c>
      <c r="G465" s="35" t="s">
        <v>2789</v>
      </c>
      <c r="H465" s="35" t="s">
        <v>2790</v>
      </c>
      <c r="I465" s="35" t="s">
        <v>2791</v>
      </c>
      <c r="J465" s="35" t="s">
        <v>2790</v>
      </c>
      <c r="K465" s="35" t="s">
        <v>82</v>
      </c>
      <c r="L465" s="35" t="s">
        <v>2792</v>
      </c>
      <c r="M465" s="35" t="s">
        <v>72</v>
      </c>
      <c r="O465" s="35" t="s">
        <v>122</v>
      </c>
    </row>
    <row r="466" spans="1:15" ht="180" hidden="1" x14ac:dyDescent="0.25">
      <c r="A466" s="35">
        <v>501</v>
      </c>
      <c r="B466" s="92">
        <v>3</v>
      </c>
      <c r="C466" s="92">
        <v>140</v>
      </c>
      <c r="D466" s="35" t="s">
        <v>73</v>
      </c>
      <c r="E466" s="35" t="s">
        <v>2793</v>
      </c>
      <c r="F466" s="35" t="s">
        <v>2794</v>
      </c>
      <c r="G466" s="35" t="s">
        <v>1566</v>
      </c>
      <c r="H466" s="35" t="s">
        <v>2795</v>
      </c>
      <c r="I466" s="35" t="s">
        <v>2796</v>
      </c>
      <c r="J466" s="35" t="s">
        <v>2796</v>
      </c>
      <c r="K466" s="35" t="s">
        <v>114</v>
      </c>
      <c r="L466" s="35" t="s">
        <v>2797</v>
      </c>
      <c r="M466" s="35" t="s">
        <v>536</v>
      </c>
      <c r="O466" s="35" t="s">
        <v>122</v>
      </c>
    </row>
    <row r="467" spans="1:15" ht="45" x14ac:dyDescent="0.25">
      <c r="A467" s="35">
        <v>502</v>
      </c>
      <c r="B467" s="92">
        <v>1</v>
      </c>
      <c r="C467" s="92">
        <v>58</v>
      </c>
      <c r="D467" s="35" t="s">
        <v>73</v>
      </c>
      <c r="E467" s="35" t="s">
        <v>2798</v>
      </c>
      <c r="F467" s="35" t="s">
        <v>2799</v>
      </c>
      <c r="G467" s="35" t="s">
        <v>2800</v>
      </c>
      <c r="H467" s="35" t="s">
        <v>2801</v>
      </c>
      <c r="I467" s="35" t="s">
        <v>2802</v>
      </c>
      <c r="J467" s="35" t="s">
        <v>2799</v>
      </c>
      <c r="K467" s="35" t="s">
        <v>69</v>
      </c>
      <c r="L467" s="35" t="s">
        <v>2803</v>
      </c>
      <c r="M467" s="35" t="s">
        <v>72</v>
      </c>
      <c r="O467" s="35" t="s">
        <v>122</v>
      </c>
    </row>
    <row r="468" spans="1:15" ht="120" hidden="1" x14ac:dyDescent="0.25">
      <c r="A468" s="35">
        <v>503</v>
      </c>
      <c r="B468" s="92">
        <v>3</v>
      </c>
      <c r="C468" s="92">
        <v>141</v>
      </c>
      <c r="D468" s="35" t="s">
        <v>73</v>
      </c>
      <c r="E468" s="35" t="s">
        <v>2804</v>
      </c>
      <c r="F468" s="35" t="s">
        <v>1995</v>
      </c>
      <c r="G468" s="35" t="s">
        <v>2805</v>
      </c>
      <c r="H468" s="35" t="s">
        <v>2806</v>
      </c>
      <c r="I468" s="35" t="s">
        <v>2807</v>
      </c>
      <c r="J468" s="35" t="s">
        <v>2806</v>
      </c>
      <c r="K468" s="35" t="s">
        <v>82</v>
      </c>
      <c r="L468" s="35" t="s">
        <v>2808</v>
      </c>
      <c r="M468" s="35" t="s">
        <v>536</v>
      </c>
      <c r="O468" s="35" t="s">
        <v>86</v>
      </c>
    </row>
    <row r="469" spans="1:15" ht="75" hidden="1" x14ac:dyDescent="0.25">
      <c r="A469" s="35">
        <v>504</v>
      </c>
      <c r="B469" s="92">
        <v>5</v>
      </c>
      <c r="C469" s="92">
        <v>136</v>
      </c>
      <c r="D469" s="35" t="s">
        <v>3689</v>
      </c>
      <c r="E469" s="35" t="s">
        <v>2809</v>
      </c>
      <c r="F469" s="35" t="s">
        <v>2810</v>
      </c>
      <c r="G469" s="35" t="s">
        <v>2811</v>
      </c>
      <c r="H469" s="35" t="s">
        <v>2812</v>
      </c>
      <c r="I469" s="35" t="s">
        <v>2813</v>
      </c>
      <c r="J469" s="35" t="s">
        <v>2811</v>
      </c>
      <c r="K469" s="35" t="s">
        <v>101</v>
      </c>
      <c r="L469" s="35" t="s">
        <v>2814</v>
      </c>
      <c r="M469" s="35" t="s">
        <v>536</v>
      </c>
      <c r="O469" s="35" t="s">
        <v>74</v>
      </c>
    </row>
    <row r="470" spans="1:15" ht="210" hidden="1" x14ac:dyDescent="0.25">
      <c r="A470" s="35">
        <v>505</v>
      </c>
      <c r="B470" s="92">
        <v>3</v>
      </c>
      <c r="C470" s="92">
        <v>142</v>
      </c>
      <c r="D470" s="35" t="s">
        <v>73</v>
      </c>
      <c r="E470" s="35" t="s">
        <v>2815</v>
      </c>
      <c r="F470" s="35" t="s">
        <v>2816</v>
      </c>
      <c r="G470" s="35" t="s">
        <v>2817</v>
      </c>
      <c r="H470" s="35" t="s">
        <v>2818</v>
      </c>
      <c r="I470" s="35" t="s">
        <v>2819</v>
      </c>
      <c r="J470" s="35" t="s">
        <v>2818</v>
      </c>
      <c r="K470" s="35" t="s">
        <v>82</v>
      </c>
      <c r="L470" s="35" t="s">
        <v>2820</v>
      </c>
      <c r="M470" s="35" t="s">
        <v>536</v>
      </c>
      <c r="O470" s="35" t="s">
        <v>74</v>
      </c>
    </row>
    <row r="471" spans="1:15" ht="60" hidden="1" x14ac:dyDescent="0.25">
      <c r="A471" s="35">
        <v>506</v>
      </c>
      <c r="B471" s="92">
        <v>5</v>
      </c>
      <c r="C471" s="92">
        <v>137</v>
      </c>
      <c r="D471" s="35" t="s">
        <v>3689</v>
      </c>
      <c r="E471" s="35" t="s">
        <v>2821</v>
      </c>
      <c r="F471" s="35" t="s">
        <v>2822</v>
      </c>
      <c r="G471" s="35" t="s">
        <v>2823</v>
      </c>
      <c r="H471" s="35" t="s">
        <v>2824</v>
      </c>
      <c r="I471" s="35" t="s">
        <v>2825</v>
      </c>
      <c r="J471" s="35" t="s">
        <v>2824</v>
      </c>
      <c r="K471" s="35" t="s">
        <v>82</v>
      </c>
      <c r="L471" s="35" t="s">
        <v>2826</v>
      </c>
      <c r="M471" s="35" t="s">
        <v>536</v>
      </c>
      <c r="O471" s="35" t="s">
        <v>74</v>
      </c>
    </row>
    <row r="472" spans="1:15" ht="105" hidden="1" x14ac:dyDescent="0.25">
      <c r="A472" s="35">
        <v>507</v>
      </c>
      <c r="B472" s="92">
        <v>5</v>
      </c>
      <c r="C472" s="92">
        <v>138</v>
      </c>
      <c r="D472" s="35" t="s">
        <v>3689</v>
      </c>
      <c r="E472" s="35" t="s">
        <v>2827</v>
      </c>
      <c r="F472" s="35" t="s">
        <v>2828</v>
      </c>
      <c r="G472" s="35" t="s">
        <v>2829</v>
      </c>
      <c r="H472" s="35" t="s">
        <v>2830</v>
      </c>
      <c r="I472" s="35" t="s">
        <v>2831</v>
      </c>
      <c r="J472" s="35" t="s">
        <v>2829</v>
      </c>
      <c r="K472" s="35" t="s">
        <v>101</v>
      </c>
      <c r="L472" s="35" t="s">
        <v>2832</v>
      </c>
      <c r="M472" s="35" t="s">
        <v>536</v>
      </c>
      <c r="O472" s="35" t="s">
        <v>74</v>
      </c>
    </row>
    <row r="473" spans="1:15" ht="120" x14ac:dyDescent="0.25">
      <c r="A473" s="35">
        <v>508</v>
      </c>
      <c r="B473" s="92">
        <v>1</v>
      </c>
      <c r="C473" s="92">
        <v>59</v>
      </c>
      <c r="D473" s="35" t="s">
        <v>73</v>
      </c>
      <c r="E473" s="35" t="s">
        <v>2833</v>
      </c>
      <c r="F473" s="35" t="s">
        <v>2834</v>
      </c>
      <c r="G473" s="35" t="s">
        <v>2835</v>
      </c>
      <c r="H473" s="35" t="s">
        <v>2836</v>
      </c>
      <c r="I473" s="35" t="s">
        <v>2837</v>
      </c>
      <c r="J473" s="35" t="s">
        <v>2835</v>
      </c>
      <c r="K473" s="35" t="s">
        <v>101</v>
      </c>
      <c r="L473" s="35" t="s">
        <v>2838</v>
      </c>
      <c r="M473" s="35" t="s">
        <v>72</v>
      </c>
      <c r="O473" s="35" t="s">
        <v>86</v>
      </c>
    </row>
    <row r="474" spans="1:15" ht="30" hidden="1" x14ac:dyDescent="0.25">
      <c r="A474" s="35">
        <v>509</v>
      </c>
      <c r="B474" s="92">
        <v>5</v>
      </c>
      <c r="C474" s="92">
        <v>139</v>
      </c>
      <c r="D474" s="35" t="s">
        <v>3689</v>
      </c>
      <c r="E474" s="35" t="s">
        <v>2839</v>
      </c>
      <c r="F474" s="35" t="s">
        <v>2840</v>
      </c>
      <c r="G474" s="35" t="s">
        <v>1346</v>
      </c>
      <c r="H474" s="35" t="s">
        <v>1347</v>
      </c>
      <c r="I474" s="35" t="s">
        <v>1348</v>
      </c>
      <c r="J474" s="35" t="s">
        <v>1348</v>
      </c>
      <c r="K474" s="35" t="s">
        <v>114</v>
      </c>
      <c r="L474" s="35" t="s">
        <v>2841</v>
      </c>
      <c r="M474" s="35" t="s">
        <v>72</v>
      </c>
      <c r="O474" s="35" t="s">
        <v>74</v>
      </c>
    </row>
    <row r="475" spans="1:15" ht="60" hidden="1" x14ac:dyDescent="0.25">
      <c r="A475" s="35">
        <v>510</v>
      </c>
      <c r="B475" s="92">
        <v>2</v>
      </c>
      <c r="C475" s="92">
        <v>129</v>
      </c>
      <c r="D475" s="35" t="s">
        <v>73</v>
      </c>
      <c r="E475" s="35" t="s">
        <v>2842</v>
      </c>
      <c r="F475" s="35" t="s">
        <v>2843</v>
      </c>
      <c r="G475" s="35" t="s">
        <v>2844</v>
      </c>
      <c r="H475" s="35" t="s">
        <v>2845</v>
      </c>
      <c r="I475" s="35" t="s">
        <v>2846</v>
      </c>
      <c r="J475" s="35" t="s">
        <v>2844</v>
      </c>
      <c r="K475" s="35" t="s">
        <v>101</v>
      </c>
      <c r="L475" s="35" t="s">
        <v>2847</v>
      </c>
      <c r="M475" s="35" t="s">
        <v>95</v>
      </c>
      <c r="O475" s="35" t="s">
        <v>74</v>
      </c>
    </row>
    <row r="476" spans="1:15" ht="45" hidden="1" x14ac:dyDescent="0.25">
      <c r="A476" s="35">
        <v>511</v>
      </c>
      <c r="B476" s="92">
        <v>5</v>
      </c>
      <c r="C476" s="92">
        <v>140</v>
      </c>
      <c r="D476" s="35" t="s">
        <v>3689</v>
      </c>
      <c r="E476" s="35" t="s">
        <v>2848</v>
      </c>
      <c r="F476" s="35" t="s">
        <v>2849</v>
      </c>
      <c r="G476" s="35" t="s">
        <v>569</v>
      </c>
      <c r="H476" s="35" t="s">
        <v>570</v>
      </c>
      <c r="I476" s="35" t="s">
        <v>568</v>
      </c>
      <c r="J476" s="35" t="s">
        <v>2849</v>
      </c>
      <c r="K476" s="35" t="s">
        <v>69</v>
      </c>
      <c r="L476" s="35" t="s">
        <v>2850</v>
      </c>
      <c r="M476" s="35" t="s">
        <v>95</v>
      </c>
      <c r="O476" s="35" t="s">
        <v>74</v>
      </c>
    </row>
    <row r="477" spans="1:15" ht="75" x14ac:dyDescent="0.25">
      <c r="A477" s="35">
        <v>512</v>
      </c>
      <c r="B477" s="92">
        <v>1</v>
      </c>
      <c r="C477" s="92">
        <v>60</v>
      </c>
      <c r="D477" s="35" t="s">
        <v>73</v>
      </c>
      <c r="E477" s="35" t="s">
        <v>2851</v>
      </c>
      <c r="F477" s="35" t="s">
        <v>2852</v>
      </c>
      <c r="G477" s="35" t="s">
        <v>2587</v>
      </c>
      <c r="H477" s="35" t="s">
        <v>2853</v>
      </c>
      <c r="I477" s="35" t="s">
        <v>2854</v>
      </c>
      <c r="J477" s="35" t="s">
        <v>2853</v>
      </c>
      <c r="K477" s="35" t="s">
        <v>82</v>
      </c>
      <c r="L477" s="35" t="s">
        <v>2855</v>
      </c>
      <c r="M477" s="35" t="s">
        <v>72</v>
      </c>
      <c r="O477" s="35" t="s">
        <v>74</v>
      </c>
    </row>
    <row r="478" spans="1:15" ht="90" hidden="1" x14ac:dyDescent="0.25">
      <c r="A478" s="35">
        <v>513</v>
      </c>
      <c r="B478" s="92">
        <v>2</v>
      </c>
      <c r="C478" s="92">
        <v>130</v>
      </c>
      <c r="D478" s="35" t="s">
        <v>73</v>
      </c>
      <c r="E478" s="35" t="s">
        <v>2856</v>
      </c>
      <c r="F478" s="35" t="s">
        <v>2857</v>
      </c>
      <c r="G478" s="35" t="s">
        <v>1096</v>
      </c>
      <c r="H478" s="35" t="s">
        <v>2858</v>
      </c>
      <c r="I478" s="35" t="s">
        <v>2859</v>
      </c>
      <c r="J478" s="35" t="s">
        <v>1096</v>
      </c>
      <c r="K478" s="35" t="s">
        <v>101</v>
      </c>
      <c r="L478" s="35" t="s">
        <v>2860</v>
      </c>
      <c r="M478" s="35" t="s">
        <v>95</v>
      </c>
      <c r="O478" s="35" t="s">
        <v>86</v>
      </c>
    </row>
    <row r="479" spans="1:15" ht="120" hidden="1" x14ac:dyDescent="0.25">
      <c r="A479" s="35">
        <v>514</v>
      </c>
      <c r="B479" s="92">
        <v>3</v>
      </c>
      <c r="C479" s="92">
        <v>143</v>
      </c>
      <c r="D479" s="35" t="s">
        <v>73</v>
      </c>
      <c r="E479" s="35" t="s">
        <v>2861</v>
      </c>
      <c r="F479" s="35" t="s">
        <v>2862</v>
      </c>
      <c r="G479" s="35" t="s">
        <v>2863</v>
      </c>
      <c r="H479" s="35" t="s">
        <v>2864</v>
      </c>
      <c r="I479" s="35" t="s">
        <v>2865</v>
      </c>
      <c r="J479" s="35" t="s">
        <v>2863</v>
      </c>
      <c r="K479" s="35" t="s">
        <v>101</v>
      </c>
      <c r="L479" s="35" t="s">
        <v>2866</v>
      </c>
      <c r="M479" s="35" t="s">
        <v>536</v>
      </c>
      <c r="O479" s="35" t="s">
        <v>86</v>
      </c>
    </row>
    <row r="480" spans="1:15" ht="90" hidden="1" x14ac:dyDescent="0.25">
      <c r="A480" s="35">
        <v>515</v>
      </c>
      <c r="B480" s="92">
        <v>3</v>
      </c>
      <c r="C480" s="92">
        <v>144</v>
      </c>
      <c r="D480" s="35" t="s">
        <v>73</v>
      </c>
      <c r="E480" s="35" t="s">
        <v>2867</v>
      </c>
      <c r="F480" s="35" t="s">
        <v>2868</v>
      </c>
      <c r="G480" s="35" t="s">
        <v>2869</v>
      </c>
      <c r="H480" s="35" t="s">
        <v>2870</v>
      </c>
      <c r="I480" s="35" t="s">
        <v>2871</v>
      </c>
      <c r="J480" s="35" t="s">
        <v>2868</v>
      </c>
      <c r="K480" s="35" t="s">
        <v>69</v>
      </c>
      <c r="L480" s="35" t="s">
        <v>2872</v>
      </c>
      <c r="M480" s="35" t="s">
        <v>536</v>
      </c>
      <c r="O480" s="35" t="s">
        <v>74</v>
      </c>
    </row>
    <row r="481" spans="1:15" ht="90" hidden="1" x14ac:dyDescent="0.25">
      <c r="A481" s="35">
        <v>516</v>
      </c>
      <c r="B481" s="92">
        <v>3</v>
      </c>
      <c r="C481" s="92">
        <v>145</v>
      </c>
      <c r="D481" s="35" t="s">
        <v>73</v>
      </c>
      <c r="E481" s="35" t="s">
        <v>2873</v>
      </c>
      <c r="F481" s="35" t="s">
        <v>2874</v>
      </c>
      <c r="G481" s="35" t="s">
        <v>2875</v>
      </c>
      <c r="H481" s="35" t="s">
        <v>581</v>
      </c>
      <c r="I481" s="35" t="s">
        <v>2876</v>
      </c>
      <c r="J481" s="35" t="s">
        <v>2875</v>
      </c>
      <c r="K481" s="35" t="s">
        <v>101</v>
      </c>
      <c r="L481" s="35" t="s">
        <v>2877</v>
      </c>
      <c r="M481" s="35" t="s">
        <v>536</v>
      </c>
      <c r="O481" s="35" t="s">
        <v>122</v>
      </c>
    </row>
    <row r="482" spans="1:15" ht="120" x14ac:dyDescent="0.25">
      <c r="A482" s="35">
        <v>517</v>
      </c>
      <c r="B482" s="92">
        <v>1</v>
      </c>
      <c r="C482" s="92">
        <v>61</v>
      </c>
      <c r="D482" s="35" t="s">
        <v>73</v>
      </c>
      <c r="E482" s="35" t="s">
        <v>2878</v>
      </c>
      <c r="F482" s="35" t="s">
        <v>2879</v>
      </c>
      <c r="G482" s="35" t="s">
        <v>2880</v>
      </c>
      <c r="H482" s="35" t="s">
        <v>2881</v>
      </c>
      <c r="I482" s="35" t="s">
        <v>2882</v>
      </c>
      <c r="J482" s="35" t="s">
        <v>2882</v>
      </c>
      <c r="K482" s="35" t="s">
        <v>114</v>
      </c>
      <c r="L482" s="35" t="s">
        <v>2883</v>
      </c>
      <c r="M482" s="35" t="s">
        <v>72</v>
      </c>
      <c r="O482" s="35" t="s">
        <v>74</v>
      </c>
    </row>
    <row r="483" spans="1:15" ht="165" x14ac:dyDescent="0.25">
      <c r="A483" s="35">
        <v>518</v>
      </c>
      <c r="B483" s="92">
        <v>1</v>
      </c>
      <c r="C483" s="92">
        <v>62</v>
      </c>
      <c r="D483" s="35" t="s">
        <v>73</v>
      </c>
      <c r="E483" s="35" t="s">
        <v>2884</v>
      </c>
      <c r="F483" s="35" t="s">
        <v>2885</v>
      </c>
      <c r="G483" s="35" t="s">
        <v>2886</v>
      </c>
      <c r="H483" s="35" t="s">
        <v>2887</v>
      </c>
      <c r="I483" s="35" t="s">
        <v>2888</v>
      </c>
      <c r="J483" s="35" t="s">
        <v>2885</v>
      </c>
      <c r="K483" s="35" t="s">
        <v>69</v>
      </c>
      <c r="L483" s="35" t="s">
        <v>2889</v>
      </c>
      <c r="M483" s="35" t="s">
        <v>72</v>
      </c>
      <c r="O483" s="35" t="s">
        <v>74</v>
      </c>
    </row>
    <row r="484" spans="1:15" ht="75" hidden="1" x14ac:dyDescent="0.25">
      <c r="A484" s="35">
        <v>519</v>
      </c>
      <c r="B484" s="92">
        <v>5</v>
      </c>
      <c r="C484" s="92">
        <v>141</v>
      </c>
      <c r="D484" s="35" t="s">
        <v>3689</v>
      </c>
      <c r="E484" s="35" t="s">
        <v>2890</v>
      </c>
      <c r="F484" s="35" t="s">
        <v>2891</v>
      </c>
      <c r="G484" s="35" t="s">
        <v>2892</v>
      </c>
      <c r="H484" s="35" t="s">
        <v>2893</v>
      </c>
      <c r="I484" s="35" t="s">
        <v>2894</v>
      </c>
      <c r="J484" s="35" t="s">
        <v>2894</v>
      </c>
      <c r="K484" s="35" t="s">
        <v>114</v>
      </c>
      <c r="L484" s="35" t="s">
        <v>2895</v>
      </c>
      <c r="M484" s="35" t="s">
        <v>72</v>
      </c>
      <c r="O484" s="35" t="s">
        <v>74</v>
      </c>
    </row>
    <row r="485" spans="1:15" ht="75" hidden="1" x14ac:dyDescent="0.25">
      <c r="A485" s="35">
        <v>520</v>
      </c>
      <c r="B485" s="92">
        <v>2</v>
      </c>
      <c r="C485" s="92">
        <v>131</v>
      </c>
      <c r="D485" s="35" t="s">
        <v>73</v>
      </c>
      <c r="E485" s="35" t="s">
        <v>2896</v>
      </c>
      <c r="F485" s="35" t="s">
        <v>2897</v>
      </c>
      <c r="G485" s="35" t="s">
        <v>2898</v>
      </c>
      <c r="H485" s="35" t="s">
        <v>2899</v>
      </c>
      <c r="I485" s="35" t="s">
        <v>2900</v>
      </c>
      <c r="J485" s="35" t="s">
        <v>2898</v>
      </c>
      <c r="K485" s="35" t="s">
        <v>101</v>
      </c>
      <c r="L485" s="35" t="s">
        <v>2901</v>
      </c>
      <c r="M485" s="35" t="s">
        <v>95</v>
      </c>
      <c r="O485" s="35" t="s">
        <v>74</v>
      </c>
    </row>
    <row r="486" spans="1:15" ht="60" x14ac:dyDescent="0.25">
      <c r="A486" s="35">
        <v>521</v>
      </c>
      <c r="B486" s="92">
        <v>1</v>
      </c>
      <c r="C486" s="92">
        <v>63</v>
      </c>
      <c r="D486" s="35" t="s">
        <v>73</v>
      </c>
      <c r="E486" s="35" t="s">
        <v>2902</v>
      </c>
      <c r="F486" s="35" t="s">
        <v>2903</v>
      </c>
      <c r="G486" s="35" t="s">
        <v>2904</v>
      </c>
      <c r="H486" s="35" t="s">
        <v>2905</v>
      </c>
      <c r="I486" s="35" t="s">
        <v>2906</v>
      </c>
      <c r="J486" s="35" t="s">
        <v>2905</v>
      </c>
      <c r="K486" s="35" t="s">
        <v>82</v>
      </c>
      <c r="L486" s="35" t="s">
        <v>2907</v>
      </c>
      <c r="M486" s="35" t="s">
        <v>72</v>
      </c>
      <c r="O486" s="35" t="s">
        <v>74</v>
      </c>
    </row>
    <row r="487" spans="1:15" ht="60" hidden="1" x14ac:dyDescent="0.25">
      <c r="A487" s="35">
        <v>522</v>
      </c>
      <c r="B487" s="92">
        <v>5</v>
      </c>
      <c r="C487" s="92">
        <v>142</v>
      </c>
      <c r="D487" s="35" t="s">
        <v>3689</v>
      </c>
      <c r="E487" s="35" t="s">
        <v>3687</v>
      </c>
      <c r="F487" s="35" t="s">
        <v>2908</v>
      </c>
      <c r="G487" s="35" t="s">
        <v>2909</v>
      </c>
      <c r="H487" s="35" t="s">
        <v>2910</v>
      </c>
      <c r="I487" s="35" t="s">
        <v>2911</v>
      </c>
      <c r="J487" s="35" t="s">
        <v>2908</v>
      </c>
      <c r="K487" s="35" t="s">
        <v>69</v>
      </c>
      <c r="L487" s="35" t="s">
        <v>2912</v>
      </c>
      <c r="M487" s="35" t="s">
        <v>72</v>
      </c>
      <c r="O487" s="35" t="s">
        <v>74</v>
      </c>
    </row>
    <row r="488" spans="1:15" ht="90" hidden="1" x14ac:dyDescent="0.25">
      <c r="A488" s="35">
        <v>523</v>
      </c>
      <c r="B488" s="92">
        <v>3</v>
      </c>
      <c r="C488" s="92">
        <v>146</v>
      </c>
      <c r="D488" s="35" t="s">
        <v>73</v>
      </c>
      <c r="E488" s="35" t="s">
        <v>2913</v>
      </c>
      <c r="F488" s="35" t="s">
        <v>2914</v>
      </c>
      <c r="G488" s="35" t="s">
        <v>2915</v>
      </c>
      <c r="H488" s="35" t="s">
        <v>2916</v>
      </c>
      <c r="I488" s="35" t="s">
        <v>2917</v>
      </c>
      <c r="J488" s="35" t="s">
        <v>2916</v>
      </c>
      <c r="K488" s="35" t="s">
        <v>82</v>
      </c>
      <c r="L488" s="35" t="s">
        <v>2918</v>
      </c>
      <c r="M488" s="35" t="s">
        <v>536</v>
      </c>
      <c r="O488" s="35" t="s">
        <v>74</v>
      </c>
    </row>
    <row r="489" spans="1:15" ht="60" hidden="1" x14ac:dyDescent="0.25">
      <c r="A489" s="35">
        <v>524</v>
      </c>
      <c r="B489" s="92">
        <v>5</v>
      </c>
      <c r="C489" s="92">
        <v>143</v>
      </c>
      <c r="D489" s="35" t="s">
        <v>3689</v>
      </c>
      <c r="E489" s="35" t="s">
        <v>2919</v>
      </c>
      <c r="F489" s="35" t="s">
        <v>1544</v>
      </c>
      <c r="G489" s="35" t="s">
        <v>1543</v>
      </c>
      <c r="H489" s="35" t="s">
        <v>2920</v>
      </c>
      <c r="I489" s="35" t="s">
        <v>689</v>
      </c>
      <c r="J489" s="35" t="s">
        <v>689</v>
      </c>
      <c r="K489" s="35" t="s">
        <v>114</v>
      </c>
      <c r="L489" s="35" t="s">
        <v>2921</v>
      </c>
      <c r="M489" s="35" t="s">
        <v>536</v>
      </c>
      <c r="O489" s="35" t="s">
        <v>74</v>
      </c>
    </row>
    <row r="490" spans="1:15" ht="60" hidden="1" x14ac:dyDescent="0.25">
      <c r="A490" s="35">
        <v>525</v>
      </c>
      <c r="B490" s="92">
        <v>5</v>
      </c>
      <c r="C490" s="92">
        <v>144</v>
      </c>
      <c r="D490" s="35" t="s">
        <v>3689</v>
      </c>
      <c r="E490" s="35" t="s">
        <v>2922</v>
      </c>
      <c r="F490" s="35" t="s">
        <v>2923</v>
      </c>
      <c r="G490" s="35" t="s">
        <v>2924</v>
      </c>
      <c r="H490" s="35" t="s">
        <v>2925</v>
      </c>
      <c r="I490" s="35" t="s">
        <v>2926</v>
      </c>
      <c r="J490" s="35" t="s">
        <v>2924</v>
      </c>
      <c r="K490" s="35" t="s">
        <v>101</v>
      </c>
      <c r="L490" s="35" t="s">
        <v>2927</v>
      </c>
      <c r="M490" s="35" t="s">
        <v>72</v>
      </c>
      <c r="O490" s="35" t="s">
        <v>86</v>
      </c>
    </row>
    <row r="491" spans="1:15" ht="45" hidden="1" x14ac:dyDescent="0.25">
      <c r="A491" s="35">
        <v>526</v>
      </c>
      <c r="B491" s="92">
        <v>3</v>
      </c>
      <c r="C491" s="92">
        <v>147</v>
      </c>
      <c r="D491" s="35" t="s">
        <v>73</v>
      </c>
      <c r="E491" s="35" t="s">
        <v>2928</v>
      </c>
      <c r="F491" s="35" t="s">
        <v>1289</v>
      </c>
      <c r="G491" s="35" t="s">
        <v>1288</v>
      </c>
      <c r="H491" s="35" t="s">
        <v>1287</v>
      </c>
      <c r="I491" s="35" t="s">
        <v>1290</v>
      </c>
      <c r="J491" s="35" t="s">
        <v>1287</v>
      </c>
      <c r="K491" s="35" t="s">
        <v>82</v>
      </c>
      <c r="L491" s="35" t="s">
        <v>2929</v>
      </c>
      <c r="M491" s="35" t="s">
        <v>536</v>
      </c>
      <c r="O491" s="35" t="s">
        <v>74</v>
      </c>
    </row>
    <row r="492" spans="1:15" ht="135" hidden="1" x14ac:dyDescent="0.25">
      <c r="A492" s="35">
        <v>527</v>
      </c>
      <c r="B492" s="92">
        <v>3</v>
      </c>
      <c r="C492" s="92">
        <v>148</v>
      </c>
      <c r="D492" s="35" t="s">
        <v>73</v>
      </c>
      <c r="E492" s="35" t="s">
        <v>2930</v>
      </c>
      <c r="F492" s="35" t="s">
        <v>2931</v>
      </c>
      <c r="G492" s="35" t="s">
        <v>2932</v>
      </c>
      <c r="H492" s="35" t="s">
        <v>2933</v>
      </c>
      <c r="I492" s="35" t="s">
        <v>2934</v>
      </c>
      <c r="J492" s="35" t="s">
        <v>2932</v>
      </c>
      <c r="K492" s="35" t="s">
        <v>101</v>
      </c>
      <c r="L492" s="35" t="s">
        <v>2935</v>
      </c>
      <c r="M492" s="35" t="s">
        <v>536</v>
      </c>
      <c r="O492" s="35" t="s">
        <v>86</v>
      </c>
    </row>
    <row r="493" spans="1:15" ht="75" hidden="1" x14ac:dyDescent="0.25">
      <c r="A493" s="35">
        <v>528</v>
      </c>
      <c r="B493" s="92">
        <v>5</v>
      </c>
      <c r="C493" s="92">
        <v>145</v>
      </c>
      <c r="D493" s="35" t="s">
        <v>3689</v>
      </c>
      <c r="E493" s="35" t="s">
        <v>2936</v>
      </c>
      <c r="F493" s="35" t="s">
        <v>2937</v>
      </c>
      <c r="G493" s="35" t="s">
        <v>2938</v>
      </c>
      <c r="H493" s="35" t="s">
        <v>2939</v>
      </c>
      <c r="I493" s="35" t="s">
        <v>2940</v>
      </c>
      <c r="J493" s="35" t="s">
        <v>2939</v>
      </c>
      <c r="K493" s="35" t="s">
        <v>82</v>
      </c>
      <c r="L493" s="35" t="s">
        <v>2941</v>
      </c>
      <c r="M493" s="35" t="s">
        <v>536</v>
      </c>
      <c r="O493" s="35" t="s">
        <v>86</v>
      </c>
    </row>
    <row r="494" spans="1:15" ht="75" hidden="1" x14ac:dyDescent="0.25">
      <c r="A494" s="35">
        <v>529</v>
      </c>
      <c r="B494" s="92">
        <v>3</v>
      </c>
      <c r="C494" s="92">
        <v>149</v>
      </c>
      <c r="D494" s="35" t="s">
        <v>73</v>
      </c>
      <c r="E494" s="35" t="s">
        <v>2942</v>
      </c>
      <c r="F494" s="35" t="s">
        <v>2943</v>
      </c>
      <c r="G494" s="35" t="s">
        <v>995</v>
      </c>
      <c r="H494" s="35" t="s">
        <v>2944</v>
      </c>
      <c r="I494" s="35" t="s">
        <v>2945</v>
      </c>
      <c r="J494" s="35" t="s">
        <v>995</v>
      </c>
      <c r="K494" s="35" t="s">
        <v>101</v>
      </c>
      <c r="L494" s="35" t="s">
        <v>2946</v>
      </c>
      <c r="M494" s="35" t="s">
        <v>536</v>
      </c>
      <c r="O494" s="35" t="s">
        <v>86</v>
      </c>
    </row>
    <row r="495" spans="1:15" ht="150" hidden="1" x14ac:dyDescent="0.25">
      <c r="A495" s="35">
        <v>530</v>
      </c>
      <c r="B495" s="92">
        <v>5</v>
      </c>
      <c r="C495" s="92">
        <v>146</v>
      </c>
      <c r="D495" s="35" t="s">
        <v>3689</v>
      </c>
      <c r="E495" s="35" t="s">
        <v>2947</v>
      </c>
      <c r="F495" s="35" t="s">
        <v>2948</v>
      </c>
      <c r="G495" s="35" t="s">
        <v>2949</v>
      </c>
      <c r="H495" s="35" t="s">
        <v>2950</v>
      </c>
      <c r="I495" s="35" t="s">
        <v>2951</v>
      </c>
      <c r="J495" s="35" t="s">
        <v>2948</v>
      </c>
      <c r="K495" s="35" t="s">
        <v>69</v>
      </c>
      <c r="L495" s="35" t="s">
        <v>2952</v>
      </c>
      <c r="M495" s="35" t="s">
        <v>536</v>
      </c>
      <c r="O495" s="35" t="s">
        <v>122</v>
      </c>
    </row>
    <row r="496" spans="1:15" ht="150" hidden="1" x14ac:dyDescent="0.25">
      <c r="A496" s="35">
        <v>531</v>
      </c>
      <c r="B496" s="92">
        <v>3</v>
      </c>
      <c r="C496" s="92">
        <v>150</v>
      </c>
      <c r="D496" s="35" t="s">
        <v>73</v>
      </c>
      <c r="E496" s="35" t="s">
        <v>2953</v>
      </c>
      <c r="F496" s="35" t="s">
        <v>2954</v>
      </c>
      <c r="G496" s="35" t="s">
        <v>2955</v>
      </c>
      <c r="H496" s="35" t="s">
        <v>2956</v>
      </c>
      <c r="I496" s="35" t="s">
        <v>2094</v>
      </c>
      <c r="J496" s="35" t="s">
        <v>2954</v>
      </c>
      <c r="K496" s="35" t="s">
        <v>69</v>
      </c>
      <c r="L496" s="35" t="s">
        <v>2957</v>
      </c>
      <c r="M496" s="35" t="s">
        <v>536</v>
      </c>
      <c r="O496" s="35" t="s">
        <v>122</v>
      </c>
    </row>
    <row r="497" spans="1:15" ht="90" hidden="1" x14ac:dyDescent="0.25">
      <c r="A497" s="35">
        <v>532</v>
      </c>
      <c r="B497" s="92">
        <v>2</v>
      </c>
      <c r="C497" s="92">
        <v>132</v>
      </c>
      <c r="D497" s="35" t="s">
        <v>73</v>
      </c>
      <c r="E497" s="35" t="s">
        <v>2958</v>
      </c>
      <c r="F497" s="35" t="s">
        <v>2959</v>
      </c>
      <c r="G497" s="35" t="s">
        <v>2960</v>
      </c>
      <c r="H497" s="35" t="s">
        <v>2961</v>
      </c>
      <c r="I497" s="35" t="s">
        <v>2962</v>
      </c>
      <c r="J497" s="35" t="s">
        <v>2961</v>
      </c>
      <c r="K497" s="35" t="s">
        <v>82</v>
      </c>
      <c r="L497" s="35" t="s">
        <v>2963</v>
      </c>
      <c r="M497" s="35" t="s">
        <v>95</v>
      </c>
      <c r="O497" s="35" t="s">
        <v>122</v>
      </c>
    </row>
    <row r="498" spans="1:15" ht="105" hidden="1" x14ac:dyDescent="0.25">
      <c r="A498" s="35">
        <v>533</v>
      </c>
      <c r="B498" s="92">
        <v>5</v>
      </c>
      <c r="C498" s="92">
        <v>147</v>
      </c>
      <c r="D498" s="35" t="s">
        <v>3689</v>
      </c>
      <c r="E498" s="35" t="s">
        <v>2964</v>
      </c>
      <c r="F498" s="35" t="s">
        <v>2965</v>
      </c>
      <c r="G498" s="35" t="s">
        <v>2966</v>
      </c>
      <c r="H498" s="35" t="s">
        <v>2967</v>
      </c>
      <c r="I498" s="35" t="s">
        <v>2968</v>
      </c>
      <c r="J498" s="35" t="s">
        <v>2965</v>
      </c>
      <c r="K498" s="35" t="s">
        <v>69</v>
      </c>
      <c r="L498" s="35" t="s">
        <v>2969</v>
      </c>
      <c r="M498" s="35" t="s">
        <v>536</v>
      </c>
      <c r="O498" s="35" t="s">
        <v>86</v>
      </c>
    </row>
    <row r="499" spans="1:15" ht="60" hidden="1" x14ac:dyDescent="0.25">
      <c r="A499" s="35">
        <v>534</v>
      </c>
      <c r="B499" s="92">
        <v>3</v>
      </c>
      <c r="C499" s="92">
        <v>151</v>
      </c>
      <c r="D499" s="35" t="s">
        <v>73</v>
      </c>
      <c r="E499" s="35" t="s">
        <v>2970</v>
      </c>
      <c r="F499" s="35" t="s">
        <v>1544</v>
      </c>
      <c r="G499" s="35" t="s">
        <v>1543</v>
      </c>
      <c r="H499" s="35" t="s">
        <v>2920</v>
      </c>
      <c r="I499" s="35" t="s">
        <v>689</v>
      </c>
      <c r="J499" s="35" t="s">
        <v>689</v>
      </c>
      <c r="K499" s="35" t="s">
        <v>114</v>
      </c>
      <c r="L499" s="35" t="s">
        <v>2971</v>
      </c>
      <c r="M499" s="35" t="s">
        <v>536</v>
      </c>
      <c r="O499" s="35" t="s">
        <v>122</v>
      </c>
    </row>
    <row r="500" spans="1:15" ht="60" hidden="1" x14ac:dyDescent="0.25">
      <c r="A500" s="35">
        <v>535</v>
      </c>
      <c r="B500" s="92">
        <v>2</v>
      </c>
      <c r="C500" s="92">
        <v>133</v>
      </c>
      <c r="D500" s="35" t="s">
        <v>73</v>
      </c>
      <c r="E500" s="35" t="s">
        <v>2972</v>
      </c>
      <c r="F500" s="35" t="s">
        <v>2973</v>
      </c>
      <c r="G500" s="35" t="s">
        <v>2974</v>
      </c>
      <c r="H500" s="35" t="s">
        <v>2975</v>
      </c>
      <c r="I500" s="35" t="s">
        <v>2976</v>
      </c>
      <c r="J500" s="35" t="s">
        <v>2973</v>
      </c>
      <c r="K500" s="35" t="s">
        <v>69</v>
      </c>
      <c r="L500" s="35" t="s">
        <v>2977</v>
      </c>
      <c r="M500" s="35" t="s">
        <v>95</v>
      </c>
      <c r="O500" s="35" t="s">
        <v>74</v>
      </c>
    </row>
    <row r="501" spans="1:15" ht="75" hidden="1" x14ac:dyDescent="0.25">
      <c r="A501" s="35">
        <v>536</v>
      </c>
      <c r="B501" s="92">
        <v>5</v>
      </c>
      <c r="C501" s="92">
        <v>148</v>
      </c>
      <c r="D501" s="35" t="s">
        <v>3689</v>
      </c>
      <c r="E501" s="35" t="s">
        <v>2978</v>
      </c>
      <c r="F501" s="94" t="s">
        <v>2979</v>
      </c>
      <c r="G501" s="94" t="s">
        <v>2980</v>
      </c>
      <c r="H501" s="94" t="s">
        <v>2076</v>
      </c>
      <c r="I501" s="94" t="s">
        <v>2981</v>
      </c>
      <c r="J501" s="94" t="s">
        <v>2076</v>
      </c>
      <c r="K501" s="35" t="s">
        <v>82</v>
      </c>
      <c r="L501" s="93" t="s">
        <v>2982</v>
      </c>
      <c r="M501" s="35" t="s">
        <v>95</v>
      </c>
      <c r="O501" s="35" t="s">
        <v>74</v>
      </c>
    </row>
    <row r="502" spans="1:15" ht="60" hidden="1" x14ac:dyDescent="0.25">
      <c r="A502" s="35">
        <v>537</v>
      </c>
      <c r="B502" s="92">
        <v>3</v>
      </c>
      <c r="C502" s="92">
        <v>152</v>
      </c>
      <c r="D502" s="35" t="s">
        <v>73</v>
      </c>
      <c r="E502" s="35" t="s">
        <v>2983</v>
      </c>
      <c r="F502" s="35" t="s">
        <v>2984</v>
      </c>
      <c r="G502" s="35" t="s">
        <v>2985</v>
      </c>
      <c r="H502" s="35" t="s">
        <v>2986</v>
      </c>
      <c r="I502" s="35" t="s">
        <v>2987</v>
      </c>
      <c r="J502" s="35" t="s">
        <v>2985</v>
      </c>
      <c r="K502" s="35" t="s">
        <v>101</v>
      </c>
      <c r="L502" s="35" t="s">
        <v>2988</v>
      </c>
      <c r="M502" s="35" t="s">
        <v>536</v>
      </c>
      <c r="O502" s="35" t="s">
        <v>74</v>
      </c>
    </row>
    <row r="503" spans="1:15" ht="120" hidden="1" x14ac:dyDescent="0.25">
      <c r="A503" s="35">
        <v>538</v>
      </c>
      <c r="B503" s="92">
        <v>3</v>
      </c>
      <c r="C503" s="92">
        <v>153</v>
      </c>
      <c r="D503" s="35" t="s">
        <v>73</v>
      </c>
      <c r="E503" s="35" t="s">
        <v>2989</v>
      </c>
      <c r="F503" s="35" t="s">
        <v>2990</v>
      </c>
      <c r="G503" s="35" t="s">
        <v>2991</v>
      </c>
      <c r="H503" s="35" t="s">
        <v>2992</v>
      </c>
      <c r="I503" s="35" t="s">
        <v>2993</v>
      </c>
      <c r="J503" s="35" t="s">
        <v>2991</v>
      </c>
      <c r="K503" s="35" t="s">
        <v>101</v>
      </c>
      <c r="L503" s="35" t="s">
        <v>2994</v>
      </c>
      <c r="M503" s="35" t="s">
        <v>536</v>
      </c>
      <c r="O503" s="35" t="s">
        <v>86</v>
      </c>
    </row>
    <row r="504" spans="1:15" ht="45" x14ac:dyDescent="0.25">
      <c r="A504" s="35">
        <v>539</v>
      </c>
      <c r="B504" s="92">
        <v>1</v>
      </c>
      <c r="C504" s="92">
        <v>64</v>
      </c>
      <c r="D504" s="35" t="s">
        <v>73</v>
      </c>
      <c r="E504" s="35" t="s">
        <v>2995</v>
      </c>
      <c r="F504" s="35" t="s">
        <v>2996</v>
      </c>
      <c r="G504" s="35" t="s">
        <v>2997</v>
      </c>
      <c r="H504" s="35" t="s">
        <v>2998</v>
      </c>
      <c r="I504" s="35" t="s">
        <v>2999</v>
      </c>
      <c r="J504" s="35" t="s">
        <v>2998</v>
      </c>
      <c r="K504" s="35" t="s">
        <v>82</v>
      </c>
      <c r="L504" s="35" t="s">
        <v>3000</v>
      </c>
      <c r="M504" s="35" t="s">
        <v>72</v>
      </c>
      <c r="O504" s="35" t="s">
        <v>74</v>
      </c>
    </row>
    <row r="505" spans="1:15" ht="150" hidden="1" x14ac:dyDescent="0.25">
      <c r="A505" s="35">
        <v>540</v>
      </c>
      <c r="B505" s="92">
        <v>5</v>
      </c>
      <c r="C505" s="92">
        <v>149</v>
      </c>
      <c r="D505" s="35" t="s">
        <v>3689</v>
      </c>
      <c r="E505" s="35" t="s">
        <v>3001</v>
      </c>
      <c r="F505" s="35" t="s">
        <v>2610</v>
      </c>
      <c r="G505" s="35" t="s">
        <v>3002</v>
      </c>
      <c r="H505" s="35" t="s">
        <v>3003</v>
      </c>
      <c r="I505" s="35" t="s">
        <v>3004</v>
      </c>
      <c r="J505" s="35" t="s">
        <v>3003</v>
      </c>
      <c r="K505" s="35" t="s">
        <v>82</v>
      </c>
      <c r="L505" s="35" t="s">
        <v>3005</v>
      </c>
      <c r="M505" s="35" t="s">
        <v>536</v>
      </c>
      <c r="O505" s="35" t="s">
        <v>86</v>
      </c>
    </row>
    <row r="506" spans="1:15" ht="180" hidden="1" x14ac:dyDescent="0.25">
      <c r="A506" s="35">
        <v>541</v>
      </c>
      <c r="B506" s="92">
        <v>2</v>
      </c>
      <c r="C506" s="92">
        <v>134</v>
      </c>
      <c r="D506" s="35" t="s">
        <v>73</v>
      </c>
      <c r="E506" s="35" t="s">
        <v>3006</v>
      </c>
      <c r="F506" s="35" t="s">
        <v>3007</v>
      </c>
      <c r="G506" s="35" t="s">
        <v>3008</v>
      </c>
      <c r="H506" s="35" t="s">
        <v>3009</v>
      </c>
      <c r="I506" s="35" t="s">
        <v>3010</v>
      </c>
      <c r="J506" s="35" t="s">
        <v>3009</v>
      </c>
      <c r="K506" s="35" t="s">
        <v>82</v>
      </c>
      <c r="L506" s="35" t="s">
        <v>3011</v>
      </c>
      <c r="M506" s="35" t="s">
        <v>95</v>
      </c>
      <c r="O506" s="35" t="s">
        <v>86</v>
      </c>
    </row>
    <row r="507" spans="1:15" ht="45" hidden="1" x14ac:dyDescent="0.25">
      <c r="A507" s="35">
        <v>542</v>
      </c>
      <c r="B507" s="92">
        <v>2</v>
      </c>
      <c r="C507" s="92">
        <v>135</v>
      </c>
      <c r="D507" s="35" t="s">
        <v>73</v>
      </c>
      <c r="E507" s="35" t="s">
        <v>3012</v>
      </c>
      <c r="F507" s="35" t="s">
        <v>3013</v>
      </c>
      <c r="G507" s="35" t="s">
        <v>3014</v>
      </c>
      <c r="H507" s="94" t="s">
        <v>3015</v>
      </c>
      <c r="I507" s="94" t="s">
        <v>2979</v>
      </c>
      <c r="J507" s="35" t="s">
        <v>3013</v>
      </c>
      <c r="K507" s="35" t="s">
        <v>69</v>
      </c>
      <c r="L507" s="35" t="s">
        <v>3016</v>
      </c>
      <c r="M507" s="35" t="s">
        <v>95</v>
      </c>
      <c r="O507" s="35" t="s">
        <v>74</v>
      </c>
    </row>
    <row r="508" spans="1:15" ht="90" hidden="1" x14ac:dyDescent="0.25">
      <c r="A508" s="35">
        <v>543</v>
      </c>
      <c r="B508" s="92">
        <v>3</v>
      </c>
      <c r="C508" s="92">
        <v>154</v>
      </c>
      <c r="D508" s="35" t="s">
        <v>73</v>
      </c>
      <c r="E508" s="35" t="s">
        <v>3017</v>
      </c>
      <c r="F508" s="35" t="s">
        <v>581</v>
      </c>
      <c r="G508" s="35" t="s">
        <v>582</v>
      </c>
      <c r="H508" s="35" t="s">
        <v>3018</v>
      </c>
      <c r="I508" s="35" t="s">
        <v>583</v>
      </c>
      <c r="J508" s="35" t="s">
        <v>582</v>
      </c>
      <c r="K508" s="35" t="s">
        <v>101</v>
      </c>
      <c r="L508" s="35" t="s">
        <v>3019</v>
      </c>
      <c r="M508" s="35" t="s">
        <v>536</v>
      </c>
      <c r="O508" s="35" t="s">
        <v>86</v>
      </c>
    </row>
    <row r="509" spans="1:15" ht="60" hidden="1" x14ac:dyDescent="0.25">
      <c r="A509" s="35">
        <v>544</v>
      </c>
      <c r="B509" s="92">
        <v>2</v>
      </c>
      <c r="C509" s="92">
        <v>136</v>
      </c>
      <c r="D509" s="35" t="s">
        <v>73</v>
      </c>
      <c r="E509" s="35" t="s">
        <v>3020</v>
      </c>
      <c r="F509" s="35" t="s">
        <v>3021</v>
      </c>
      <c r="G509" s="35" t="s">
        <v>3022</v>
      </c>
      <c r="H509" s="35" t="s">
        <v>3023</v>
      </c>
      <c r="I509" s="35" t="s">
        <v>3024</v>
      </c>
      <c r="J509" s="35" t="s">
        <v>3022</v>
      </c>
      <c r="K509" s="35" t="s">
        <v>101</v>
      </c>
      <c r="L509" s="35" t="s">
        <v>3025</v>
      </c>
      <c r="M509" s="35" t="s">
        <v>95</v>
      </c>
      <c r="O509" s="35" t="s">
        <v>86</v>
      </c>
    </row>
    <row r="510" spans="1:15" ht="150" hidden="1" x14ac:dyDescent="0.25">
      <c r="A510" s="35">
        <v>545</v>
      </c>
      <c r="B510" s="92">
        <v>5</v>
      </c>
      <c r="C510" s="92">
        <v>150</v>
      </c>
      <c r="D510" s="35" t="s">
        <v>3689</v>
      </c>
      <c r="E510" s="35" t="s">
        <v>3026</v>
      </c>
      <c r="F510" s="35" t="s">
        <v>3027</v>
      </c>
      <c r="G510" s="35" t="s">
        <v>3028</v>
      </c>
      <c r="H510" s="35" t="s">
        <v>3029</v>
      </c>
      <c r="I510" s="35" t="s">
        <v>3030</v>
      </c>
      <c r="J510" s="35" t="s">
        <v>3027</v>
      </c>
      <c r="K510" s="35" t="s">
        <v>69</v>
      </c>
      <c r="L510" s="35" t="s">
        <v>3031</v>
      </c>
      <c r="M510" s="35" t="s">
        <v>536</v>
      </c>
      <c r="O510" s="35" t="s">
        <v>86</v>
      </c>
    </row>
    <row r="511" spans="1:15" ht="255" hidden="1" x14ac:dyDescent="0.25">
      <c r="A511" s="35">
        <v>546</v>
      </c>
      <c r="B511" s="92">
        <v>5</v>
      </c>
      <c r="C511" s="92">
        <v>151</v>
      </c>
      <c r="D511" s="35" t="s">
        <v>3689</v>
      </c>
      <c r="E511" s="35" t="s">
        <v>3032</v>
      </c>
      <c r="F511" s="35" t="s">
        <v>3033</v>
      </c>
      <c r="G511" s="35" t="s">
        <v>3034</v>
      </c>
      <c r="H511" s="35" t="s">
        <v>3035</v>
      </c>
      <c r="I511" s="35" t="s">
        <v>3036</v>
      </c>
      <c r="J511" s="35" t="s">
        <v>3033</v>
      </c>
      <c r="K511" s="35" t="s">
        <v>69</v>
      </c>
      <c r="L511" s="35" t="s">
        <v>3037</v>
      </c>
      <c r="M511" s="35" t="s">
        <v>95</v>
      </c>
      <c r="O511" s="35" t="s">
        <v>74</v>
      </c>
    </row>
    <row r="512" spans="1:15" ht="105" hidden="1" x14ac:dyDescent="0.25">
      <c r="A512" s="35">
        <v>547</v>
      </c>
      <c r="B512" s="92">
        <v>3</v>
      </c>
      <c r="C512" s="92">
        <v>155</v>
      </c>
      <c r="D512" s="35" t="s">
        <v>73</v>
      </c>
      <c r="E512" s="35" t="s">
        <v>3038</v>
      </c>
      <c r="F512" s="35" t="s">
        <v>3039</v>
      </c>
      <c r="G512" s="35" t="s">
        <v>3040</v>
      </c>
      <c r="H512" s="35" t="s">
        <v>3041</v>
      </c>
      <c r="I512" s="35" t="s">
        <v>3042</v>
      </c>
      <c r="J512" s="35" t="s">
        <v>3041</v>
      </c>
      <c r="K512" s="35" t="s">
        <v>82</v>
      </c>
      <c r="L512" s="35" t="s">
        <v>3043</v>
      </c>
      <c r="M512" s="35" t="s">
        <v>536</v>
      </c>
      <c r="O512" s="35" t="s">
        <v>86</v>
      </c>
    </row>
    <row r="513" spans="1:15" ht="105" hidden="1" x14ac:dyDescent="0.25">
      <c r="A513" s="35">
        <v>548</v>
      </c>
      <c r="B513" s="92">
        <v>5</v>
      </c>
      <c r="C513" s="92">
        <v>152</v>
      </c>
      <c r="D513" s="35" t="s">
        <v>3689</v>
      </c>
      <c r="E513" s="35" t="s">
        <v>3044</v>
      </c>
      <c r="F513" s="35" t="s">
        <v>3045</v>
      </c>
      <c r="G513" s="35" t="s">
        <v>2875</v>
      </c>
      <c r="H513" s="35" t="s">
        <v>3046</v>
      </c>
      <c r="I513" s="35" t="s">
        <v>3047</v>
      </c>
      <c r="J513" s="35" t="s">
        <v>3045</v>
      </c>
      <c r="K513" s="35" t="s">
        <v>69</v>
      </c>
      <c r="L513" s="35" t="s">
        <v>3048</v>
      </c>
      <c r="M513" s="35" t="s">
        <v>95</v>
      </c>
      <c r="O513" s="35" t="s">
        <v>122</v>
      </c>
    </row>
    <row r="514" spans="1:15" ht="60" x14ac:dyDescent="0.25">
      <c r="A514" s="35">
        <v>549</v>
      </c>
      <c r="B514" s="92">
        <v>1</v>
      </c>
      <c r="C514" s="92">
        <v>65</v>
      </c>
      <c r="D514" s="35" t="s">
        <v>73</v>
      </c>
      <c r="E514" s="35" t="s">
        <v>3049</v>
      </c>
      <c r="F514" s="35" t="s">
        <v>3050</v>
      </c>
      <c r="G514" s="35" t="s">
        <v>3051</v>
      </c>
      <c r="H514" s="35" t="s">
        <v>3052</v>
      </c>
      <c r="I514" s="35" t="s">
        <v>3053</v>
      </c>
      <c r="J514" s="35" t="s">
        <v>3052</v>
      </c>
      <c r="K514" s="35" t="s">
        <v>82</v>
      </c>
      <c r="L514" s="35" t="s">
        <v>3054</v>
      </c>
      <c r="M514" s="35" t="s">
        <v>72</v>
      </c>
      <c r="O514" s="35" t="s">
        <v>86</v>
      </c>
    </row>
    <row r="515" spans="1:15" ht="135" hidden="1" x14ac:dyDescent="0.25">
      <c r="A515" s="35">
        <v>550</v>
      </c>
      <c r="B515" s="92">
        <v>5</v>
      </c>
      <c r="C515" s="92">
        <v>153</v>
      </c>
      <c r="D515" s="35" t="s">
        <v>3689</v>
      </c>
      <c r="E515" s="35" t="s">
        <v>3055</v>
      </c>
      <c r="F515" s="35" t="s">
        <v>3056</v>
      </c>
      <c r="G515" s="35" t="s">
        <v>3057</v>
      </c>
      <c r="H515" s="35" t="s">
        <v>3058</v>
      </c>
      <c r="I515" s="35" t="s">
        <v>3059</v>
      </c>
      <c r="J515" s="35" t="s">
        <v>3058</v>
      </c>
      <c r="K515" s="35" t="s">
        <v>82</v>
      </c>
      <c r="L515" s="35" t="s">
        <v>3060</v>
      </c>
      <c r="M515" s="35" t="s">
        <v>95</v>
      </c>
      <c r="O515" s="35" t="s">
        <v>86</v>
      </c>
    </row>
    <row r="516" spans="1:15" ht="120" hidden="1" x14ac:dyDescent="0.25">
      <c r="A516" s="35">
        <v>551</v>
      </c>
      <c r="B516" s="92">
        <v>2</v>
      </c>
      <c r="C516" s="92">
        <v>137</v>
      </c>
      <c r="D516" s="35" t="s">
        <v>73</v>
      </c>
      <c r="E516" s="35" t="s">
        <v>3061</v>
      </c>
      <c r="F516" s="35" t="s">
        <v>3062</v>
      </c>
      <c r="G516" s="35" t="s">
        <v>1376</v>
      </c>
      <c r="H516" s="35" t="s">
        <v>3063</v>
      </c>
      <c r="I516" s="35" t="s">
        <v>190</v>
      </c>
      <c r="J516" s="35" t="s">
        <v>3063</v>
      </c>
      <c r="K516" s="35" t="s">
        <v>82</v>
      </c>
      <c r="L516" s="35" t="s">
        <v>3064</v>
      </c>
      <c r="M516" s="35" t="s">
        <v>95</v>
      </c>
      <c r="O516" s="35" t="s">
        <v>74</v>
      </c>
    </row>
    <row r="517" spans="1:15" ht="135" x14ac:dyDescent="0.25">
      <c r="A517" s="35">
        <v>552</v>
      </c>
      <c r="B517" s="92">
        <v>1</v>
      </c>
      <c r="C517" s="92">
        <v>66</v>
      </c>
      <c r="D517" s="35" t="s">
        <v>73</v>
      </c>
      <c r="E517" s="35" t="s">
        <v>3065</v>
      </c>
      <c r="F517" s="35" t="s">
        <v>3066</v>
      </c>
      <c r="G517" s="35" t="s">
        <v>1193</v>
      </c>
      <c r="H517" s="35" t="s">
        <v>3067</v>
      </c>
      <c r="I517" s="35" t="s">
        <v>3068</v>
      </c>
      <c r="J517" s="35" t="s">
        <v>3068</v>
      </c>
      <c r="K517" s="35" t="s">
        <v>114</v>
      </c>
      <c r="L517" s="35" t="s">
        <v>3069</v>
      </c>
      <c r="M517" s="35" t="s">
        <v>72</v>
      </c>
      <c r="O517" s="35" t="s">
        <v>74</v>
      </c>
    </row>
    <row r="518" spans="1:15" ht="120" hidden="1" x14ac:dyDescent="0.25">
      <c r="A518" s="35">
        <v>553</v>
      </c>
      <c r="B518" s="92">
        <v>5</v>
      </c>
      <c r="C518" s="92">
        <v>154</v>
      </c>
      <c r="D518" s="35" t="s">
        <v>3689</v>
      </c>
      <c r="E518" s="35" t="s">
        <v>3070</v>
      </c>
      <c r="F518" s="35" t="s">
        <v>87</v>
      </c>
      <c r="G518" s="35" t="s">
        <v>173</v>
      </c>
      <c r="H518" s="35" t="s">
        <v>3071</v>
      </c>
      <c r="I518" s="35" t="s">
        <v>3072</v>
      </c>
      <c r="J518" s="35" t="s">
        <v>173</v>
      </c>
      <c r="K518" s="35" t="s">
        <v>101</v>
      </c>
      <c r="L518" s="35" t="s">
        <v>3073</v>
      </c>
      <c r="M518" s="35" t="s">
        <v>95</v>
      </c>
      <c r="O518" s="35" t="s">
        <v>74</v>
      </c>
    </row>
    <row r="519" spans="1:15" ht="90" hidden="1" x14ac:dyDescent="0.25">
      <c r="A519" s="35">
        <v>554</v>
      </c>
      <c r="B519" s="92">
        <v>5</v>
      </c>
      <c r="C519" s="92">
        <v>155</v>
      </c>
      <c r="D519" s="35" t="s">
        <v>3689</v>
      </c>
      <c r="E519" s="35" t="s">
        <v>3074</v>
      </c>
      <c r="F519" s="35" t="s">
        <v>3075</v>
      </c>
      <c r="G519" s="35" t="s">
        <v>3076</v>
      </c>
      <c r="H519" s="35" t="s">
        <v>3077</v>
      </c>
      <c r="I519" s="35" t="s">
        <v>3078</v>
      </c>
      <c r="J519" s="35" t="s">
        <v>3076</v>
      </c>
      <c r="K519" s="35" t="s">
        <v>101</v>
      </c>
      <c r="L519" s="35" t="s">
        <v>3079</v>
      </c>
      <c r="M519" s="35" t="s">
        <v>72</v>
      </c>
      <c r="O519" s="35" t="s">
        <v>74</v>
      </c>
    </row>
    <row r="520" spans="1:15" ht="195" hidden="1" x14ac:dyDescent="0.25">
      <c r="A520" s="35">
        <v>555</v>
      </c>
      <c r="B520" s="92">
        <v>2</v>
      </c>
      <c r="C520" s="92">
        <v>138</v>
      </c>
      <c r="D520" s="35" t="s">
        <v>73</v>
      </c>
      <c r="E520" s="35" t="s">
        <v>3080</v>
      </c>
      <c r="F520" s="35" t="s">
        <v>3081</v>
      </c>
      <c r="G520" s="35" t="s">
        <v>3082</v>
      </c>
      <c r="H520" s="35" t="s">
        <v>3083</v>
      </c>
      <c r="I520" s="35" t="s">
        <v>3084</v>
      </c>
      <c r="J520" s="35" t="s">
        <v>3083</v>
      </c>
      <c r="K520" s="35" t="s">
        <v>82</v>
      </c>
      <c r="L520" s="35" t="s">
        <v>3085</v>
      </c>
      <c r="M520" s="35" t="s">
        <v>95</v>
      </c>
      <c r="O520" s="35" t="s">
        <v>86</v>
      </c>
    </row>
    <row r="521" spans="1:15" ht="90" hidden="1" x14ac:dyDescent="0.25">
      <c r="A521" s="35">
        <v>556</v>
      </c>
      <c r="B521" s="92">
        <v>2</v>
      </c>
      <c r="C521" s="92">
        <v>139</v>
      </c>
      <c r="D521" s="35" t="s">
        <v>73</v>
      </c>
      <c r="E521" s="35" t="s">
        <v>3086</v>
      </c>
      <c r="F521" s="35" t="s">
        <v>3071</v>
      </c>
      <c r="G521" s="35" t="s">
        <v>219</v>
      </c>
      <c r="H521" s="35" t="s">
        <v>3087</v>
      </c>
      <c r="I521" s="35" t="s">
        <v>218</v>
      </c>
      <c r="J521" s="35" t="s">
        <v>3071</v>
      </c>
      <c r="K521" s="35" t="s">
        <v>69</v>
      </c>
      <c r="L521" s="35" t="s">
        <v>3088</v>
      </c>
      <c r="M521" s="35" t="s">
        <v>95</v>
      </c>
      <c r="O521" s="35" t="s">
        <v>74</v>
      </c>
    </row>
    <row r="522" spans="1:15" ht="150" x14ac:dyDescent="0.25">
      <c r="A522" s="35">
        <v>557</v>
      </c>
      <c r="B522" s="92">
        <v>1</v>
      </c>
      <c r="C522" s="92">
        <v>67</v>
      </c>
      <c r="D522" s="35" t="s">
        <v>73</v>
      </c>
      <c r="E522" s="35" t="s">
        <v>3089</v>
      </c>
      <c r="F522" s="35" t="s">
        <v>3090</v>
      </c>
      <c r="G522" s="35" t="s">
        <v>3091</v>
      </c>
      <c r="H522" s="35" t="s">
        <v>3092</v>
      </c>
      <c r="I522" s="35" t="s">
        <v>3093</v>
      </c>
      <c r="J522" s="35" t="s">
        <v>3090</v>
      </c>
      <c r="K522" s="35" t="s">
        <v>69</v>
      </c>
      <c r="L522" s="35" t="s">
        <v>3094</v>
      </c>
      <c r="M522" s="35" t="s">
        <v>72</v>
      </c>
      <c r="O522" s="35" t="s">
        <v>74</v>
      </c>
    </row>
    <row r="523" spans="1:15" ht="180" hidden="1" x14ac:dyDescent="0.25">
      <c r="A523" s="35">
        <v>558</v>
      </c>
      <c r="B523" s="92">
        <v>2</v>
      </c>
      <c r="C523" s="92">
        <v>140</v>
      </c>
      <c r="D523" s="35" t="s">
        <v>73</v>
      </c>
      <c r="E523" s="35" t="s">
        <v>3095</v>
      </c>
      <c r="F523" s="35" t="s">
        <v>173</v>
      </c>
      <c r="G523" s="35" t="s">
        <v>1376</v>
      </c>
      <c r="H523" s="35" t="s">
        <v>1377</v>
      </c>
      <c r="I523" s="35" t="s">
        <v>222</v>
      </c>
      <c r="J523" s="35" t="s">
        <v>1377</v>
      </c>
      <c r="K523" s="35" t="s">
        <v>82</v>
      </c>
      <c r="L523" s="35" t="s">
        <v>3096</v>
      </c>
      <c r="M523" s="35" t="s">
        <v>95</v>
      </c>
      <c r="O523" s="35" t="s">
        <v>74</v>
      </c>
    </row>
    <row r="524" spans="1:15" ht="150" hidden="1" x14ac:dyDescent="0.25">
      <c r="A524" s="35">
        <v>559</v>
      </c>
      <c r="B524" s="92">
        <v>2</v>
      </c>
      <c r="C524" s="92">
        <v>141</v>
      </c>
      <c r="D524" s="35" t="s">
        <v>73</v>
      </c>
      <c r="E524" s="35" t="s">
        <v>3097</v>
      </c>
      <c r="F524" s="35" t="s">
        <v>3098</v>
      </c>
      <c r="G524" s="35" t="s">
        <v>3099</v>
      </c>
      <c r="H524" s="35" t="s">
        <v>3100</v>
      </c>
      <c r="I524" s="35" t="s">
        <v>3101</v>
      </c>
      <c r="J524" s="35" t="s">
        <v>3099</v>
      </c>
      <c r="K524" s="35" t="s">
        <v>101</v>
      </c>
      <c r="L524" s="35" t="s">
        <v>3102</v>
      </c>
      <c r="M524" s="35" t="s">
        <v>95</v>
      </c>
      <c r="O524" s="35" t="s">
        <v>122</v>
      </c>
    </row>
    <row r="525" spans="1:15" ht="60" hidden="1" x14ac:dyDescent="0.25">
      <c r="A525" s="35">
        <v>560</v>
      </c>
      <c r="B525" s="92">
        <v>3</v>
      </c>
      <c r="C525" s="92">
        <v>156</v>
      </c>
      <c r="D525" s="35" t="s">
        <v>73</v>
      </c>
      <c r="E525" s="35" t="s">
        <v>3103</v>
      </c>
      <c r="F525" s="35" t="s">
        <v>3104</v>
      </c>
      <c r="G525" s="35" t="s">
        <v>3105</v>
      </c>
      <c r="H525" s="35" t="s">
        <v>3106</v>
      </c>
      <c r="I525" s="35" t="s">
        <v>3107</v>
      </c>
      <c r="J525" s="35" t="s">
        <v>3105</v>
      </c>
      <c r="K525" s="35" t="s">
        <v>101</v>
      </c>
      <c r="L525" s="35" t="s">
        <v>3108</v>
      </c>
      <c r="M525" s="35" t="s">
        <v>536</v>
      </c>
      <c r="O525" s="35" t="s">
        <v>122</v>
      </c>
    </row>
    <row r="526" spans="1:15" ht="60" hidden="1" x14ac:dyDescent="0.25">
      <c r="A526" s="35">
        <v>561</v>
      </c>
      <c r="B526" s="92">
        <v>3</v>
      </c>
      <c r="C526" s="92">
        <v>157</v>
      </c>
      <c r="D526" s="35" t="s">
        <v>73</v>
      </c>
      <c r="E526" s="35" t="s">
        <v>3109</v>
      </c>
      <c r="F526" s="35" t="s">
        <v>3104</v>
      </c>
      <c r="G526" s="35" t="s">
        <v>3105</v>
      </c>
      <c r="H526" s="35" t="s">
        <v>3106</v>
      </c>
      <c r="I526" s="35" t="s">
        <v>3107</v>
      </c>
      <c r="J526" s="35" t="s">
        <v>3105</v>
      </c>
      <c r="K526" s="35" t="s">
        <v>101</v>
      </c>
      <c r="L526" s="35" t="s">
        <v>3110</v>
      </c>
      <c r="M526" s="35" t="s">
        <v>536</v>
      </c>
      <c r="O526" s="35" t="s">
        <v>122</v>
      </c>
    </row>
    <row r="527" spans="1:15" ht="120" hidden="1" x14ac:dyDescent="0.25">
      <c r="A527" s="35">
        <v>562</v>
      </c>
      <c r="B527" s="92">
        <v>2</v>
      </c>
      <c r="C527" s="92">
        <v>142</v>
      </c>
      <c r="D527" s="35" t="s">
        <v>73</v>
      </c>
      <c r="E527" s="35" t="s">
        <v>3111</v>
      </c>
      <c r="F527" s="35" t="s">
        <v>228</v>
      </c>
      <c r="G527" s="35" t="s">
        <v>3112</v>
      </c>
      <c r="H527" s="35" t="s">
        <v>1376</v>
      </c>
      <c r="I527" s="35" t="s">
        <v>3113</v>
      </c>
      <c r="J527" s="35" t="s">
        <v>3113</v>
      </c>
      <c r="K527" s="35" t="s">
        <v>114</v>
      </c>
      <c r="L527" s="35" t="s">
        <v>3114</v>
      </c>
      <c r="M527" s="35" t="s">
        <v>95</v>
      </c>
      <c r="O527" s="35" t="s">
        <v>86</v>
      </c>
    </row>
    <row r="528" spans="1:15" ht="120" hidden="1" x14ac:dyDescent="0.25">
      <c r="A528" s="35">
        <v>563</v>
      </c>
      <c r="B528" s="92">
        <v>5</v>
      </c>
      <c r="C528" s="92">
        <v>156</v>
      </c>
      <c r="D528" s="35" t="s">
        <v>3689</v>
      </c>
      <c r="E528" s="35" t="s">
        <v>3115</v>
      </c>
      <c r="F528" s="35" t="s">
        <v>207</v>
      </c>
      <c r="G528" s="35" t="s">
        <v>208</v>
      </c>
      <c r="H528" s="35" t="s">
        <v>206</v>
      </c>
      <c r="I528" s="35" t="s">
        <v>209</v>
      </c>
      <c r="J528" s="35" t="s">
        <v>206</v>
      </c>
      <c r="K528" s="35" t="s">
        <v>82</v>
      </c>
      <c r="L528" s="35" t="s">
        <v>3116</v>
      </c>
      <c r="M528" s="35" t="s">
        <v>95</v>
      </c>
      <c r="O528" s="35" t="s">
        <v>86</v>
      </c>
    </row>
    <row r="529" spans="1:15" ht="90" hidden="1" x14ac:dyDescent="0.25">
      <c r="A529" s="35">
        <v>564</v>
      </c>
      <c r="B529" s="92">
        <v>2</v>
      </c>
      <c r="C529" s="92">
        <v>143</v>
      </c>
      <c r="D529" s="35" t="s">
        <v>73</v>
      </c>
      <c r="E529" s="35" t="s">
        <v>3117</v>
      </c>
      <c r="F529" s="35" t="s">
        <v>173</v>
      </c>
      <c r="G529" s="35" t="s">
        <v>223</v>
      </c>
      <c r="H529" s="35" t="s">
        <v>3118</v>
      </c>
      <c r="I529" s="35" t="s">
        <v>3119</v>
      </c>
      <c r="J529" s="35" t="s">
        <v>223</v>
      </c>
      <c r="K529" s="35" t="s">
        <v>101</v>
      </c>
      <c r="L529" s="35" t="s">
        <v>3120</v>
      </c>
      <c r="M529" s="35" t="s">
        <v>95</v>
      </c>
      <c r="O529" s="35" t="s">
        <v>86</v>
      </c>
    </row>
    <row r="530" spans="1:15" ht="120" hidden="1" x14ac:dyDescent="0.25">
      <c r="A530" s="35">
        <v>565</v>
      </c>
      <c r="B530" s="92">
        <v>2</v>
      </c>
      <c r="C530" s="92">
        <v>144</v>
      </c>
      <c r="D530" s="35" t="s">
        <v>73</v>
      </c>
      <c r="E530" s="35" t="s">
        <v>3121</v>
      </c>
      <c r="F530" s="35" t="s">
        <v>3122</v>
      </c>
      <c r="G530" s="35" t="s">
        <v>3123</v>
      </c>
      <c r="H530" s="35" t="s">
        <v>3124</v>
      </c>
      <c r="I530" s="35" t="s">
        <v>3125</v>
      </c>
      <c r="J530" s="35" t="s">
        <v>3123</v>
      </c>
      <c r="K530" s="35" t="s">
        <v>101</v>
      </c>
      <c r="L530" s="35" t="s">
        <v>3126</v>
      </c>
      <c r="M530" s="35" t="s">
        <v>95</v>
      </c>
      <c r="O530" s="35" t="s">
        <v>122</v>
      </c>
    </row>
    <row r="531" spans="1:15" ht="45" x14ac:dyDescent="0.25">
      <c r="A531" s="35">
        <v>566</v>
      </c>
      <c r="B531" s="92">
        <v>1</v>
      </c>
      <c r="C531" s="92">
        <v>68</v>
      </c>
      <c r="D531" s="35" t="s">
        <v>73</v>
      </c>
      <c r="E531" s="35" t="s">
        <v>3127</v>
      </c>
      <c r="F531" s="35" t="s">
        <v>3128</v>
      </c>
      <c r="G531" s="35" t="s">
        <v>3129</v>
      </c>
      <c r="H531" s="35" t="s">
        <v>3130</v>
      </c>
      <c r="I531" s="35" t="s">
        <v>3131</v>
      </c>
      <c r="J531" s="35" t="s">
        <v>3131</v>
      </c>
      <c r="K531" s="35" t="s">
        <v>114</v>
      </c>
      <c r="L531" s="35" t="s">
        <v>3132</v>
      </c>
      <c r="M531" s="35" t="s">
        <v>72</v>
      </c>
      <c r="O531" s="35" t="s">
        <v>74</v>
      </c>
    </row>
    <row r="532" spans="1:15" ht="105" hidden="1" x14ac:dyDescent="0.25">
      <c r="A532" s="35">
        <v>568</v>
      </c>
      <c r="B532" s="92">
        <v>4</v>
      </c>
      <c r="C532" s="92">
        <v>6</v>
      </c>
      <c r="D532" s="35" t="s">
        <v>73</v>
      </c>
      <c r="E532" s="35" t="s">
        <v>3133</v>
      </c>
      <c r="F532" s="35" t="s">
        <v>3134</v>
      </c>
      <c r="G532" s="35" t="s">
        <v>3135</v>
      </c>
      <c r="H532" s="35" t="s">
        <v>2267</v>
      </c>
      <c r="I532" s="35" t="s">
        <v>3136</v>
      </c>
      <c r="J532" s="35" t="s">
        <v>3135</v>
      </c>
      <c r="K532" s="35" t="s">
        <v>101</v>
      </c>
      <c r="L532" s="35" t="s">
        <v>3137</v>
      </c>
      <c r="M532" s="35" t="s">
        <v>84</v>
      </c>
      <c r="N532" s="35" t="s">
        <v>1588</v>
      </c>
      <c r="O532" s="35" t="s">
        <v>86</v>
      </c>
    </row>
    <row r="533" spans="1:15" ht="135" hidden="1" x14ac:dyDescent="0.25">
      <c r="A533" s="35">
        <v>569</v>
      </c>
      <c r="B533" s="92">
        <v>5</v>
      </c>
      <c r="C533" s="92">
        <v>157</v>
      </c>
      <c r="D533" s="35" t="s">
        <v>3689</v>
      </c>
      <c r="E533" s="35" t="s">
        <v>3138</v>
      </c>
      <c r="F533" s="35" t="s">
        <v>3003</v>
      </c>
      <c r="G533" s="35" t="s">
        <v>3004</v>
      </c>
      <c r="H533" s="35" t="s">
        <v>3139</v>
      </c>
      <c r="I533" s="35" t="s">
        <v>629</v>
      </c>
      <c r="J533" s="35" t="s">
        <v>3004</v>
      </c>
      <c r="K533" s="35" t="s">
        <v>101</v>
      </c>
      <c r="L533" s="35" t="s">
        <v>3140</v>
      </c>
      <c r="M533" s="35" t="s">
        <v>84</v>
      </c>
      <c r="N533" s="35" t="s">
        <v>85</v>
      </c>
      <c r="O533" s="35" t="s">
        <v>86</v>
      </c>
    </row>
    <row r="534" spans="1:15" ht="120" x14ac:dyDescent="0.25">
      <c r="A534" s="35">
        <v>570</v>
      </c>
      <c r="B534" s="92">
        <v>1</v>
      </c>
      <c r="C534" s="92">
        <v>69</v>
      </c>
      <c r="D534" s="35" t="s">
        <v>73</v>
      </c>
      <c r="E534" s="35" t="s">
        <v>3141</v>
      </c>
      <c r="F534" s="35" t="s">
        <v>3142</v>
      </c>
      <c r="G534" s="35" t="s">
        <v>3003</v>
      </c>
      <c r="H534" s="35" t="s">
        <v>317</v>
      </c>
      <c r="I534" s="35" t="s">
        <v>3143</v>
      </c>
      <c r="J534" s="35" t="s">
        <v>3003</v>
      </c>
      <c r="K534" s="35" t="s">
        <v>101</v>
      </c>
      <c r="L534" s="35" t="s">
        <v>3144</v>
      </c>
      <c r="M534" s="35" t="s">
        <v>72</v>
      </c>
      <c r="O534" s="35" t="s">
        <v>86</v>
      </c>
    </row>
    <row r="535" spans="1:15" ht="90" hidden="1" x14ac:dyDescent="0.25">
      <c r="A535" s="35">
        <v>571</v>
      </c>
      <c r="B535" s="92">
        <v>3</v>
      </c>
      <c r="C535" s="92">
        <v>158</v>
      </c>
      <c r="D535" s="35" t="s">
        <v>73</v>
      </c>
      <c r="E535" s="35" t="s">
        <v>3145</v>
      </c>
      <c r="F535" s="35" t="s">
        <v>3146</v>
      </c>
      <c r="G535" s="35" t="s">
        <v>3147</v>
      </c>
      <c r="H535" s="35" t="s">
        <v>3148</v>
      </c>
      <c r="I535" s="35" t="s">
        <v>3149</v>
      </c>
      <c r="J535" s="35" t="s">
        <v>3147</v>
      </c>
      <c r="K535" s="35" t="s">
        <v>101</v>
      </c>
      <c r="L535" s="35" t="s">
        <v>3150</v>
      </c>
      <c r="M535" s="35" t="s">
        <v>536</v>
      </c>
      <c r="O535" s="35" t="s">
        <v>86</v>
      </c>
    </row>
    <row r="536" spans="1:15" ht="105" hidden="1" x14ac:dyDescent="0.25">
      <c r="A536" s="35">
        <v>572</v>
      </c>
      <c r="B536" s="92">
        <v>3</v>
      </c>
      <c r="C536" s="92">
        <v>159</v>
      </c>
      <c r="D536" s="35" t="s">
        <v>73</v>
      </c>
      <c r="E536" s="35" t="s">
        <v>3151</v>
      </c>
      <c r="F536" s="35" t="s">
        <v>3152</v>
      </c>
      <c r="G536" s="35" t="s">
        <v>3153</v>
      </c>
      <c r="H536" s="35" t="s">
        <v>3154</v>
      </c>
      <c r="I536" s="35" t="s">
        <v>3155</v>
      </c>
      <c r="J536" s="35" t="s">
        <v>3153</v>
      </c>
      <c r="K536" s="35" t="s">
        <v>101</v>
      </c>
      <c r="L536" s="35" t="s">
        <v>3156</v>
      </c>
      <c r="M536" s="35" t="s">
        <v>536</v>
      </c>
      <c r="O536" s="35" t="s">
        <v>86</v>
      </c>
    </row>
    <row r="537" spans="1:15" ht="135" hidden="1" x14ac:dyDescent="0.25">
      <c r="A537" s="35">
        <v>573</v>
      </c>
      <c r="B537" s="92">
        <v>2</v>
      </c>
      <c r="C537" s="92">
        <v>145</v>
      </c>
      <c r="D537" s="35" t="s">
        <v>73</v>
      </c>
      <c r="E537" s="35" t="s">
        <v>3157</v>
      </c>
      <c r="F537" s="35" t="s">
        <v>3158</v>
      </c>
      <c r="G537" s="35" t="s">
        <v>3159</v>
      </c>
      <c r="H537" s="35" t="s">
        <v>3160</v>
      </c>
      <c r="I537" s="35" t="s">
        <v>3161</v>
      </c>
      <c r="J537" s="35" t="s">
        <v>3158</v>
      </c>
      <c r="K537" s="35" t="s">
        <v>69</v>
      </c>
      <c r="L537" s="35" t="s">
        <v>3162</v>
      </c>
      <c r="M537" s="35" t="s">
        <v>95</v>
      </c>
      <c r="O537" s="35" t="s">
        <v>122</v>
      </c>
    </row>
    <row r="538" spans="1:15" ht="120" x14ac:dyDescent="0.25">
      <c r="A538" s="35">
        <v>575</v>
      </c>
      <c r="B538" s="92">
        <v>1</v>
      </c>
      <c r="C538" s="92">
        <v>70</v>
      </c>
      <c r="D538" s="35" t="s">
        <v>73</v>
      </c>
      <c r="E538" s="35" t="s">
        <v>3163</v>
      </c>
      <c r="F538" s="35" t="s">
        <v>3164</v>
      </c>
      <c r="G538" s="35" t="s">
        <v>3165</v>
      </c>
      <c r="H538" s="35" t="s">
        <v>3166</v>
      </c>
      <c r="I538" s="35" t="s">
        <v>3167</v>
      </c>
      <c r="J538" s="35" t="s">
        <v>3167</v>
      </c>
      <c r="K538" s="35" t="s">
        <v>114</v>
      </c>
      <c r="L538" s="35" t="s">
        <v>3168</v>
      </c>
      <c r="M538" s="35" t="s">
        <v>72</v>
      </c>
      <c r="O538" s="35" t="s">
        <v>74</v>
      </c>
    </row>
    <row r="539" spans="1:15" ht="180" hidden="1" x14ac:dyDescent="0.25">
      <c r="A539" s="35">
        <v>576</v>
      </c>
      <c r="B539" s="92">
        <v>2</v>
      </c>
      <c r="C539" s="92">
        <v>146</v>
      </c>
      <c r="D539" s="35" t="s">
        <v>73</v>
      </c>
      <c r="E539" s="35" t="s">
        <v>3169</v>
      </c>
      <c r="F539" s="35" t="s">
        <v>3170</v>
      </c>
      <c r="G539" s="35" t="s">
        <v>3171</v>
      </c>
      <c r="H539" s="35" t="s">
        <v>3172</v>
      </c>
      <c r="I539" s="35" t="s">
        <v>3173</v>
      </c>
      <c r="J539" s="35" t="s">
        <v>3171</v>
      </c>
      <c r="K539" s="35" t="s">
        <v>101</v>
      </c>
      <c r="L539" s="35" t="s">
        <v>3174</v>
      </c>
      <c r="M539" s="35" t="s">
        <v>95</v>
      </c>
      <c r="O539" s="35" t="s">
        <v>86</v>
      </c>
    </row>
    <row r="540" spans="1:15" ht="150" hidden="1" x14ac:dyDescent="0.25">
      <c r="A540" s="35">
        <v>577</v>
      </c>
      <c r="B540" s="92">
        <v>5</v>
      </c>
      <c r="C540" s="92">
        <v>158</v>
      </c>
      <c r="D540" s="35" t="s">
        <v>3689</v>
      </c>
      <c r="E540" s="35" t="s">
        <v>3175</v>
      </c>
      <c r="F540" s="35" t="s">
        <v>3176</v>
      </c>
      <c r="G540" s="35" t="s">
        <v>3177</v>
      </c>
      <c r="H540" s="35" t="s">
        <v>3178</v>
      </c>
      <c r="I540" s="35" t="s">
        <v>3179</v>
      </c>
      <c r="J540" s="35" t="s">
        <v>3177</v>
      </c>
      <c r="K540" s="35" t="s">
        <v>101</v>
      </c>
      <c r="L540" s="35" t="s">
        <v>3180</v>
      </c>
      <c r="M540" s="35" t="s">
        <v>95</v>
      </c>
      <c r="O540" s="35" t="s">
        <v>86</v>
      </c>
    </row>
    <row r="541" spans="1:15" ht="135" hidden="1" x14ac:dyDescent="0.25">
      <c r="A541" s="35">
        <v>578</v>
      </c>
      <c r="B541" s="92">
        <v>2</v>
      </c>
      <c r="C541" s="92">
        <v>147</v>
      </c>
      <c r="D541" s="35" t="s">
        <v>73</v>
      </c>
      <c r="E541" s="35" t="s">
        <v>3181</v>
      </c>
      <c r="F541" s="35" t="s">
        <v>3182</v>
      </c>
      <c r="G541" s="35" t="s">
        <v>3183</v>
      </c>
      <c r="H541" s="35" t="s">
        <v>3184</v>
      </c>
      <c r="I541" s="35" t="s">
        <v>3185</v>
      </c>
      <c r="J541" s="35" t="s">
        <v>3182</v>
      </c>
      <c r="K541" s="35" t="s">
        <v>69</v>
      </c>
      <c r="L541" s="35" t="s">
        <v>3186</v>
      </c>
      <c r="M541" s="35" t="s">
        <v>95</v>
      </c>
      <c r="O541" s="35" t="s">
        <v>122</v>
      </c>
    </row>
    <row r="542" spans="1:15" ht="105" hidden="1" x14ac:dyDescent="0.25">
      <c r="A542" s="35">
        <v>579</v>
      </c>
      <c r="B542" s="92">
        <v>2</v>
      </c>
      <c r="C542" s="92">
        <v>148</v>
      </c>
      <c r="D542" s="35" t="s">
        <v>73</v>
      </c>
      <c r="E542" s="35" t="s">
        <v>3187</v>
      </c>
      <c r="F542" s="35" t="s">
        <v>3188</v>
      </c>
      <c r="G542" s="35" t="s">
        <v>1377</v>
      </c>
      <c r="H542" s="35" t="s">
        <v>3189</v>
      </c>
      <c r="I542" s="35" t="s">
        <v>319</v>
      </c>
      <c r="J542" s="35" t="s">
        <v>1377</v>
      </c>
      <c r="K542" s="35" t="s">
        <v>101</v>
      </c>
      <c r="L542" s="35" t="s">
        <v>3190</v>
      </c>
      <c r="M542" s="35" t="s">
        <v>95</v>
      </c>
      <c r="O542" s="35" t="s">
        <v>74</v>
      </c>
    </row>
    <row r="543" spans="1:15" ht="60" hidden="1" x14ac:dyDescent="0.25">
      <c r="A543" s="35">
        <v>580</v>
      </c>
      <c r="B543" s="92">
        <v>3</v>
      </c>
      <c r="C543" s="92">
        <v>160</v>
      </c>
      <c r="D543" s="35" t="s">
        <v>73</v>
      </c>
      <c r="E543" s="35" t="s">
        <v>3191</v>
      </c>
      <c r="F543" s="35" t="s">
        <v>3192</v>
      </c>
      <c r="G543" s="35" t="s">
        <v>3193</v>
      </c>
      <c r="H543" s="35" t="s">
        <v>3194</v>
      </c>
      <c r="I543" s="35" t="s">
        <v>3195</v>
      </c>
      <c r="J543" s="35" t="s">
        <v>3195</v>
      </c>
      <c r="K543" s="35" t="s">
        <v>114</v>
      </c>
      <c r="L543" s="35" t="s">
        <v>3196</v>
      </c>
      <c r="M543" s="35" t="s">
        <v>536</v>
      </c>
      <c r="O543" s="35" t="s">
        <v>74</v>
      </c>
    </row>
    <row r="544" spans="1:15" ht="90" hidden="1" x14ac:dyDescent="0.25">
      <c r="A544" s="35">
        <v>581</v>
      </c>
      <c r="B544" s="92">
        <v>2</v>
      </c>
      <c r="C544" s="92">
        <v>149</v>
      </c>
      <c r="D544" s="35" t="s">
        <v>73</v>
      </c>
      <c r="E544" s="35" t="s">
        <v>3197</v>
      </c>
      <c r="F544" s="35" t="s">
        <v>243</v>
      </c>
      <c r="G544" s="35" t="s">
        <v>910</v>
      </c>
      <c r="H544" s="35" t="s">
        <v>244</v>
      </c>
      <c r="I544" s="35" t="s">
        <v>3198</v>
      </c>
      <c r="J544" s="35" t="s">
        <v>244</v>
      </c>
      <c r="K544" s="35" t="s">
        <v>82</v>
      </c>
      <c r="L544" s="35" t="s">
        <v>3199</v>
      </c>
      <c r="M544" s="35" t="s">
        <v>95</v>
      </c>
      <c r="O544" s="35" t="s">
        <v>86</v>
      </c>
    </row>
    <row r="545" spans="1:15" ht="105" hidden="1" x14ac:dyDescent="0.25">
      <c r="A545" s="35">
        <v>582</v>
      </c>
      <c r="B545" s="92">
        <v>5</v>
      </c>
      <c r="C545" s="92">
        <v>159</v>
      </c>
      <c r="D545" s="35" t="s">
        <v>3689</v>
      </c>
      <c r="E545" s="35" t="s">
        <v>3200</v>
      </c>
      <c r="F545" s="35" t="s">
        <v>3201</v>
      </c>
      <c r="G545" s="35" t="s">
        <v>1212</v>
      </c>
      <c r="H545" s="35" t="s">
        <v>3202</v>
      </c>
      <c r="I545" s="35" t="s">
        <v>3203</v>
      </c>
      <c r="J545" s="35" t="s">
        <v>1212</v>
      </c>
      <c r="K545" s="35" t="s">
        <v>101</v>
      </c>
      <c r="L545" s="35" t="s">
        <v>3204</v>
      </c>
      <c r="M545" s="35" t="s">
        <v>95</v>
      </c>
      <c r="O545" s="35" t="s">
        <v>86</v>
      </c>
    </row>
    <row r="546" spans="1:15" ht="105" hidden="1" x14ac:dyDescent="0.25">
      <c r="A546" s="35">
        <v>583</v>
      </c>
      <c r="B546" s="92">
        <v>2</v>
      </c>
      <c r="C546" s="92">
        <v>150</v>
      </c>
      <c r="D546" s="35" t="s">
        <v>73</v>
      </c>
      <c r="E546" s="35" t="s">
        <v>3205</v>
      </c>
      <c r="F546" s="35" t="s">
        <v>3206</v>
      </c>
      <c r="G546" s="35" t="s">
        <v>3207</v>
      </c>
      <c r="H546" s="35" t="s">
        <v>3208</v>
      </c>
      <c r="I546" s="35" t="s">
        <v>3209</v>
      </c>
      <c r="J546" s="35" t="s">
        <v>3208</v>
      </c>
      <c r="K546" s="35" t="s">
        <v>82</v>
      </c>
      <c r="L546" s="35" t="s">
        <v>3210</v>
      </c>
      <c r="M546" s="35" t="s">
        <v>95</v>
      </c>
      <c r="O546" s="35" t="s">
        <v>86</v>
      </c>
    </row>
    <row r="547" spans="1:15" ht="90" hidden="1" x14ac:dyDescent="0.25">
      <c r="A547" s="35">
        <v>584</v>
      </c>
      <c r="B547" s="92">
        <v>2</v>
      </c>
      <c r="C547" s="92">
        <v>151</v>
      </c>
      <c r="D547" s="35" t="s">
        <v>73</v>
      </c>
      <c r="E547" s="35" t="s">
        <v>3211</v>
      </c>
      <c r="F547" s="35" t="s">
        <v>3212</v>
      </c>
      <c r="G547" s="35" t="s">
        <v>3213</v>
      </c>
      <c r="H547" s="35" t="s">
        <v>3214</v>
      </c>
      <c r="I547" s="35" t="s">
        <v>3215</v>
      </c>
      <c r="J547" s="35" t="s">
        <v>3215</v>
      </c>
      <c r="K547" s="35" t="s">
        <v>114</v>
      </c>
      <c r="L547" s="35" t="s">
        <v>3216</v>
      </c>
      <c r="M547" s="35" t="s">
        <v>95</v>
      </c>
      <c r="O547" s="35" t="s">
        <v>86</v>
      </c>
    </row>
    <row r="548" spans="1:15" ht="60" x14ac:dyDescent="0.25">
      <c r="A548" s="35">
        <v>585</v>
      </c>
      <c r="B548" s="92">
        <v>1</v>
      </c>
      <c r="C548" s="92">
        <v>71</v>
      </c>
      <c r="D548" s="35" t="s">
        <v>73</v>
      </c>
      <c r="E548" s="35" t="s">
        <v>3217</v>
      </c>
      <c r="F548" s="35" t="s">
        <v>3218</v>
      </c>
      <c r="G548" s="35" t="s">
        <v>3219</v>
      </c>
      <c r="H548" s="35" t="s">
        <v>3220</v>
      </c>
      <c r="I548" s="35" t="s">
        <v>3221</v>
      </c>
      <c r="J548" s="35" t="s">
        <v>3220</v>
      </c>
      <c r="K548" s="35" t="s">
        <v>82</v>
      </c>
      <c r="L548" s="35" t="s">
        <v>3222</v>
      </c>
      <c r="M548" s="35" t="s">
        <v>72</v>
      </c>
      <c r="O548" s="35" t="s">
        <v>86</v>
      </c>
    </row>
    <row r="549" spans="1:15" ht="105" hidden="1" x14ac:dyDescent="0.25">
      <c r="A549" s="35">
        <v>586</v>
      </c>
      <c r="B549" s="92">
        <v>3</v>
      </c>
      <c r="C549" s="92">
        <v>161</v>
      </c>
      <c r="D549" s="35" t="s">
        <v>73</v>
      </c>
      <c r="E549" s="35" t="s">
        <v>3223</v>
      </c>
      <c r="F549" s="35" t="s">
        <v>3224</v>
      </c>
      <c r="G549" s="35" t="s">
        <v>3225</v>
      </c>
      <c r="H549" s="35" t="s">
        <v>3226</v>
      </c>
      <c r="I549" s="35" t="s">
        <v>3227</v>
      </c>
      <c r="J549" s="35" t="s">
        <v>3227</v>
      </c>
      <c r="K549" s="35" t="s">
        <v>114</v>
      </c>
      <c r="L549" s="35" t="s">
        <v>3228</v>
      </c>
      <c r="M549" s="35" t="s">
        <v>536</v>
      </c>
      <c r="O549" s="35" t="s">
        <v>122</v>
      </c>
    </row>
    <row r="550" spans="1:15" ht="105" hidden="1" x14ac:dyDescent="0.25">
      <c r="A550" s="35">
        <v>587</v>
      </c>
      <c r="B550" s="92">
        <v>2</v>
      </c>
      <c r="C550" s="92">
        <v>152</v>
      </c>
      <c r="D550" s="35" t="s">
        <v>73</v>
      </c>
      <c r="E550" s="35" t="s">
        <v>3229</v>
      </c>
      <c r="F550" s="35" t="s">
        <v>3230</v>
      </c>
      <c r="G550" s="35" t="s">
        <v>3231</v>
      </c>
      <c r="H550" s="35" t="s">
        <v>3232</v>
      </c>
      <c r="I550" s="35" t="s">
        <v>3233</v>
      </c>
      <c r="J550" s="35" t="s">
        <v>3231</v>
      </c>
      <c r="K550" s="35" t="s">
        <v>101</v>
      </c>
      <c r="L550" s="35" t="s">
        <v>3234</v>
      </c>
      <c r="M550" s="35" t="s">
        <v>95</v>
      </c>
      <c r="O550" s="35" t="s">
        <v>74</v>
      </c>
    </row>
    <row r="551" spans="1:15" ht="150" hidden="1" x14ac:dyDescent="0.25">
      <c r="A551" s="35">
        <v>589</v>
      </c>
      <c r="B551" s="92">
        <v>2</v>
      </c>
      <c r="C551" s="92">
        <v>153</v>
      </c>
      <c r="D551" s="35" t="s">
        <v>73</v>
      </c>
      <c r="E551" s="35" t="s">
        <v>3235</v>
      </c>
      <c r="F551" s="35" t="s">
        <v>3236</v>
      </c>
      <c r="G551" s="35" t="s">
        <v>3237</v>
      </c>
      <c r="H551" s="35" t="s">
        <v>3238</v>
      </c>
      <c r="I551" s="35" t="s">
        <v>3239</v>
      </c>
      <c r="J551" s="35" t="s">
        <v>3240</v>
      </c>
      <c r="K551" s="35" t="s">
        <v>82</v>
      </c>
      <c r="L551" s="35" t="s">
        <v>3241</v>
      </c>
      <c r="M551" s="35" t="s">
        <v>95</v>
      </c>
      <c r="O551" s="35" t="s">
        <v>86</v>
      </c>
    </row>
    <row r="552" spans="1:15" ht="135" x14ac:dyDescent="0.25">
      <c r="A552" s="35">
        <v>590</v>
      </c>
      <c r="B552" s="92">
        <v>1</v>
      </c>
      <c r="C552" s="92">
        <v>72</v>
      </c>
      <c r="D552" s="35" t="s">
        <v>73</v>
      </c>
      <c r="E552" s="35" t="s">
        <v>3242</v>
      </c>
      <c r="F552" s="35" t="s">
        <v>3243</v>
      </c>
      <c r="G552" s="35" t="s">
        <v>3244</v>
      </c>
      <c r="H552" s="35" t="s">
        <v>3245</v>
      </c>
      <c r="I552" s="35" t="s">
        <v>3246</v>
      </c>
      <c r="J552" s="35" t="s">
        <v>3244</v>
      </c>
      <c r="K552" s="35" t="s">
        <v>101</v>
      </c>
      <c r="L552" s="35" t="s">
        <v>3247</v>
      </c>
      <c r="M552" s="35" t="s">
        <v>72</v>
      </c>
      <c r="O552" s="35" t="s">
        <v>86</v>
      </c>
    </row>
    <row r="553" spans="1:15" ht="90" hidden="1" x14ac:dyDescent="0.25">
      <c r="A553" s="35">
        <v>591</v>
      </c>
      <c r="B553" s="92">
        <v>5</v>
      </c>
      <c r="C553" s="92">
        <v>160</v>
      </c>
      <c r="D553" s="35" t="s">
        <v>3689</v>
      </c>
      <c r="E553" s="35" t="s">
        <v>3248</v>
      </c>
      <c r="F553" s="35" t="s">
        <v>173</v>
      </c>
      <c r="G553" s="35" t="s">
        <v>223</v>
      </c>
      <c r="H553" s="35" t="s">
        <v>3119</v>
      </c>
      <c r="I553" s="35" t="s">
        <v>3249</v>
      </c>
      <c r="J553" s="35" t="s">
        <v>223</v>
      </c>
      <c r="K553" s="35" t="s">
        <v>101</v>
      </c>
      <c r="L553" s="35" t="s">
        <v>3250</v>
      </c>
      <c r="M553" s="35" t="s">
        <v>95</v>
      </c>
      <c r="O553" s="35" t="s">
        <v>122</v>
      </c>
    </row>
    <row r="554" spans="1:15" ht="60" hidden="1" x14ac:dyDescent="0.25">
      <c r="A554" s="35">
        <v>592</v>
      </c>
      <c r="B554" s="92">
        <v>3</v>
      </c>
      <c r="C554" s="92">
        <v>162</v>
      </c>
      <c r="D554" s="35" t="s">
        <v>73</v>
      </c>
      <c r="E554" s="35" t="s">
        <v>3251</v>
      </c>
      <c r="F554" s="35" t="s">
        <v>3252</v>
      </c>
      <c r="G554" s="35" t="s">
        <v>3253</v>
      </c>
      <c r="H554" s="35" t="s">
        <v>3254</v>
      </c>
      <c r="I554" s="35" t="s">
        <v>3255</v>
      </c>
      <c r="J554" s="35" t="s">
        <v>3252</v>
      </c>
      <c r="K554" s="35" t="s">
        <v>69</v>
      </c>
      <c r="L554" s="35" t="s">
        <v>3256</v>
      </c>
      <c r="M554" s="35" t="s">
        <v>536</v>
      </c>
      <c r="O554" s="35" t="s">
        <v>122</v>
      </c>
    </row>
    <row r="555" spans="1:15" ht="90" hidden="1" x14ac:dyDescent="0.25">
      <c r="A555" s="35">
        <v>593</v>
      </c>
      <c r="B555" s="92">
        <v>3</v>
      </c>
      <c r="C555" s="92">
        <v>163</v>
      </c>
      <c r="D555" s="35" t="s">
        <v>73</v>
      </c>
      <c r="E555" s="35" t="s">
        <v>3257</v>
      </c>
      <c r="F555" s="35" t="s">
        <v>3258</v>
      </c>
      <c r="G555" s="35" t="s">
        <v>3259</v>
      </c>
      <c r="H555" s="35" t="s">
        <v>1993</v>
      </c>
      <c r="I555" s="35" t="s">
        <v>3260</v>
      </c>
      <c r="J555" s="35" t="s">
        <v>1993</v>
      </c>
      <c r="K555" s="35" t="s">
        <v>82</v>
      </c>
      <c r="L555" s="35" t="s">
        <v>3261</v>
      </c>
      <c r="M555" s="35" t="s">
        <v>536</v>
      </c>
      <c r="O555" s="35" t="s">
        <v>122</v>
      </c>
    </row>
    <row r="556" spans="1:15" ht="120" hidden="1" x14ac:dyDescent="0.25">
      <c r="A556" s="35">
        <v>594</v>
      </c>
      <c r="B556" s="92">
        <v>2</v>
      </c>
      <c r="C556" s="92">
        <v>154</v>
      </c>
      <c r="D556" s="35" t="s">
        <v>73</v>
      </c>
      <c r="E556" s="35" t="s">
        <v>3262</v>
      </c>
      <c r="F556" s="35" t="s">
        <v>2085</v>
      </c>
      <c r="G556" s="35" t="s">
        <v>2086</v>
      </c>
      <c r="H556" s="35" t="s">
        <v>2087</v>
      </c>
      <c r="I556" s="35" t="s">
        <v>2088</v>
      </c>
      <c r="J556" s="35" t="s">
        <v>2085</v>
      </c>
      <c r="K556" s="35" t="s">
        <v>69</v>
      </c>
      <c r="L556" s="35" t="s">
        <v>3263</v>
      </c>
      <c r="M556" s="35" t="s">
        <v>95</v>
      </c>
      <c r="O556" s="35" t="s">
        <v>74</v>
      </c>
    </row>
    <row r="557" spans="1:15" ht="60" x14ac:dyDescent="0.25">
      <c r="A557" s="35">
        <v>595</v>
      </c>
      <c r="B557" s="92">
        <v>1</v>
      </c>
      <c r="C557" s="92">
        <v>73</v>
      </c>
      <c r="D557" s="35" t="s">
        <v>73</v>
      </c>
      <c r="E557" s="35" t="s">
        <v>3264</v>
      </c>
      <c r="F557" s="35" t="s">
        <v>3265</v>
      </c>
      <c r="G557" s="35" t="s">
        <v>3266</v>
      </c>
      <c r="H557" s="35" t="s">
        <v>3267</v>
      </c>
      <c r="I557" s="35" t="s">
        <v>3268</v>
      </c>
      <c r="J557" s="35" t="s">
        <v>3266</v>
      </c>
      <c r="K557" s="35" t="s">
        <v>101</v>
      </c>
      <c r="L557" s="35" t="s">
        <v>3269</v>
      </c>
      <c r="M557" s="35" t="s">
        <v>72</v>
      </c>
      <c r="O557" s="35" t="s">
        <v>74</v>
      </c>
    </row>
    <row r="558" spans="1:15" ht="120" x14ac:dyDescent="0.25">
      <c r="A558" s="35">
        <v>596</v>
      </c>
      <c r="B558" s="92">
        <v>1</v>
      </c>
      <c r="C558" s="92">
        <v>74</v>
      </c>
      <c r="D558" s="35" t="s">
        <v>73</v>
      </c>
      <c r="E558" s="35" t="s">
        <v>3270</v>
      </c>
      <c r="F558" s="35" t="s">
        <v>3271</v>
      </c>
      <c r="G558" s="35" t="s">
        <v>3272</v>
      </c>
      <c r="H558" s="35" t="s">
        <v>3273</v>
      </c>
      <c r="I558" s="35" t="s">
        <v>3274</v>
      </c>
      <c r="J558" s="35" t="s">
        <v>3274</v>
      </c>
      <c r="K558" s="35" t="s">
        <v>114</v>
      </c>
      <c r="L558" s="35" t="s">
        <v>3275</v>
      </c>
      <c r="M558" s="35" t="s">
        <v>72</v>
      </c>
      <c r="O558" s="35" t="s">
        <v>74</v>
      </c>
    </row>
    <row r="559" spans="1:15" ht="120" hidden="1" x14ac:dyDescent="0.25">
      <c r="A559" s="35">
        <v>597</v>
      </c>
      <c r="B559" s="92">
        <v>5</v>
      </c>
      <c r="C559" s="92">
        <v>161</v>
      </c>
      <c r="D559" s="35" t="s">
        <v>3689</v>
      </c>
      <c r="E559" s="35" t="s">
        <v>3276</v>
      </c>
      <c r="F559" s="35" t="s">
        <v>3277</v>
      </c>
      <c r="G559" s="35" t="s">
        <v>3278</v>
      </c>
      <c r="H559" s="35" t="s">
        <v>3279</v>
      </c>
      <c r="I559" s="35" t="s">
        <v>3280</v>
      </c>
      <c r="J559" s="35" t="s">
        <v>3277</v>
      </c>
      <c r="K559" s="35" t="s">
        <v>69</v>
      </c>
      <c r="L559" s="35" t="s">
        <v>3281</v>
      </c>
      <c r="M559" s="35" t="s">
        <v>72</v>
      </c>
      <c r="O559" s="35" t="s">
        <v>74</v>
      </c>
    </row>
    <row r="560" spans="1:15" ht="75" x14ac:dyDescent="0.25">
      <c r="A560" s="35">
        <v>598</v>
      </c>
      <c r="B560" s="92">
        <v>1</v>
      </c>
      <c r="C560" s="92">
        <v>75</v>
      </c>
      <c r="D560" s="35" t="s">
        <v>73</v>
      </c>
      <c r="E560" s="35" t="s">
        <v>3282</v>
      </c>
      <c r="F560" s="35" t="s">
        <v>3283</v>
      </c>
      <c r="G560" s="35" t="s">
        <v>3056</v>
      </c>
      <c r="H560" s="35" t="s">
        <v>3284</v>
      </c>
      <c r="I560" s="35" t="s">
        <v>2290</v>
      </c>
      <c r="J560" s="35" t="s">
        <v>3284</v>
      </c>
      <c r="K560" s="35" t="s">
        <v>82</v>
      </c>
      <c r="L560" s="35" t="s">
        <v>3285</v>
      </c>
      <c r="M560" s="35" t="s">
        <v>72</v>
      </c>
      <c r="O560" s="35" t="s">
        <v>86</v>
      </c>
    </row>
    <row r="561" spans="1:15" ht="105" hidden="1" x14ac:dyDescent="0.25">
      <c r="A561" s="35">
        <v>599</v>
      </c>
      <c r="B561" s="92">
        <v>5</v>
      </c>
      <c r="C561" s="92">
        <v>162</v>
      </c>
      <c r="D561" s="35" t="s">
        <v>3689</v>
      </c>
      <c r="E561" s="35" t="s">
        <v>3286</v>
      </c>
      <c r="F561" s="35" t="s">
        <v>3287</v>
      </c>
      <c r="G561" s="35" t="s">
        <v>3056</v>
      </c>
      <c r="H561" s="35" t="s">
        <v>1816</v>
      </c>
      <c r="I561" s="35" t="s">
        <v>3288</v>
      </c>
      <c r="J561" s="35" t="s">
        <v>3287</v>
      </c>
      <c r="K561" s="35" t="s">
        <v>69</v>
      </c>
      <c r="L561" s="35" t="s">
        <v>3289</v>
      </c>
      <c r="M561" s="35" t="s">
        <v>72</v>
      </c>
      <c r="O561" s="35" t="s">
        <v>86</v>
      </c>
    </row>
    <row r="562" spans="1:15" ht="90" x14ac:dyDescent="0.25">
      <c r="A562" s="35">
        <v>600</v>
      </c>
      <c r="B562" s="92">
        <v>1</v>
      </c>
      <c r="C562" s="92">
        <v>76</v>
      </c>
      <c r="D562" s="35" t="s">
        <v>73</v>
      </c>
      <c r="E562" s="35" t="s">
        <v>3290</v>
      </c>
      <c r="F562" s="35" t="s">
        <v>1349</v>
      </c>
      <c r="G562" s="35" t="s">
        <v>3291</v>
      </c>
      <c r="H562" s="35" t="s">
        <v>3292</v>
      </c>
      <c r="I562" s="35" t="s">
        <v>3293</v>
      </c>
      <c r="J562" s="35" t="s">
        <v>1349</v>
      </c>
      <c r="K562" s="35" t="s">
        <v>69</v>
      </c>
      <c r="L562" s="35" t="s">
        <v>3294</v>
      </c>
      <c r="M562" s="35" t="s">
        <v>72</v>
      </c>
      <c r="O562" s="35" t="s">
        <v>74</v>
      </c>
    </row>
    <row r="563" spans="1:15" ht="180" x14ac:dyDescent="0.25">
      <c r="A563" s="35">
        <v>602</v>
      </c>
      <c r="B563" s="92">
        <v>1</v>
      </c>
      <c r="C563" s="92">
        <v>77</v>
      </c>
      <c r="D563" s="35" t="s">
        <v>73</v>
      </c>
      <c r="E563" s="35" t="s">
        <v>3295</v>
      </c>
      <c r="F563" s="35" t="s">
        <v>3296</v>
      </c>
      <c r="G563" s="35" t="s">
        <v>3297</v>
      </c>
      <c r="H563" s="35" t="s">
        <v>3298</v>
      </c>
      <c r="I563" s="35" t="s">
        <v>3299</v>
      </c>
      <c r="J563" s="35" t="s">
        <v>3298</v>
      </c>
      <c r="K563" s="35" t="s">
        <v>82</v>
      </c>
      <c r="L563" s="35" t="s">
        <v>3300</v>
      </c>
      <c r="M563" s="35" t="s">
        <v>72</v>
      </c>
      <c r="O563" s="35" t="s">
        <v>86</v>
      </c>
    </row>
    <row r="564" spans="1:15" ht="105" hidden="1" x14ac:dyDescent="0.25">
      <c r="A564" s="35">
        <v>603</v>
      </c>
      <c r="B564" s="92">
        <v>4</v>
      </c>
      <c r="C564" s="92">
        <v>7</v>
      </c>
      <c r="D564" s="35" t="s">
        <v>73</v>
      </c>
      <c r="E564" s="35" t="s">
        <v>3301</v>
      </c>
      <c r="F564" s="35" t="s">
        <v>3302</v>
      </c>
      <c r="G564" s="35" t="s">
        <v>3303</v>
      </c>
      <c r="H564" s="35" t="s">
        <v>3304</v>
      </c>
      <c r="I564" s="35" t="s">
        <v>3305</v>
      </c>
      <c r="J564" s="35" t="s">
        <v>3305</v>
      </c>
      <c r="K564" s="35" t="s">
        <v>114</v>
      </c>
      <c r="L564" s="35" t="s">
        <v>3306</v>
      </c>
      <c r="M564" s="35" t="s">
        <v>84</v>
      </c>
      <c r="N564" s="35" t="s">
        <v>1588</v>
      </c>
      <c r="O564" s="35" t="s">
        <v>122</v>
      </c>
    </row>
    <row r="565" spans="1:15" ht="195" hidden="1" x14ac:dyDescent="0.25">
      <c r="A565" s="35">
        <v>604</v>
      </c>
      <c r="B565" s="92">
        <v>2</v>
      </c>
      <c r="C565" s="92">
        <v>155</v>
      </c>
      <c r="D565" s="35" t="s">
        <v>73</v>
      </c>
      <c r="E565" s="35" t="s">
        <v>3307</v>
      </c>
      <c r="F565" s="35" t="s">
        <v>3308</v>
      </c>
      <c r="G565" s="35" t="s">
        <v>3309</v>
      </c>
      <c r="H565" s="35" t="s">
        <v>3310</v>
      </c>
      <c r="I565" s="35" t="s">
        <v>3311</v>
      </c>
      <c r="J565" s="35" t="s">
        <v>3309</v>
      </c>
      <c r="K565" s="35" t="s">
        <v>101</v>
      </c>
      <c r="L565" s="35" t="s">
        <v>3312</v>
      </c>
      <c r="M565" s="35" t="s">
        <v>95</v>
      </c>
      <c r="O565" s="35" t="s">
        <v>86</v>
      </c>
    </row>
    <row r="566" spans="1:15" ht="60" hidden="1" x14ac:dyDescent="0.25">
      <c r="A566" s="35">
        <v>605</v>
      </c>
      <c r="B566" s="92">
        <v>2</v>
      </c>
      <c r="C566" s="92">
        <v>156</v>
      </c>
      <c r="D566" s="35" t="s">
        <v>73</v>
      </c>
      <c r="E566" s="35" t="s">
        <v>3313</v>
      </c>
      <c r="F566" s="35" t="s">
        <v>3314</v>
      </c>
      <c r="G566" s="35" t="s">
        <v>3315</v>
      </c>
      <c r="H566" s="35" t="s">
        <v>3316</v>
      </c>
      <c r="I566" s="35" t="s">
        <v>3317</v>
      </c>
      <c r="J566" s="35" t="s">
        <v>3317</v>
      </c>
      <c r="K566" s="35" t="s">
        <v>114</v>
      </c>
      <c r="L566" s="35" t="s">
        <v>3318</v>
      </c>
      <c r="M566" s="35" t="s">
        <v>95</v>
      </c>
      <c r="O566" s="35" t="s">
        <v>86</v>
      </c>
    </row>
    <row r="567" spans="1:15" ht="135" hidden="1" x14ac:dyDescent="0.25">
      <c r="A567" s="35">
        <v>606</v>
      </c>
      <c r="B567" s="92">
        <v>5</v>
      </c>
      <c r="C567" s="92">
        <v>163</v>
      </c>
      <c r="D567" s="35" t="s">
        <v>3689</v>
      </c>
      <c r="E567" s="35" t="s">
        <v>3319</v>
      </c>
      <c r="F567" s="35" t="s">
        <v>3320</v>
      </c>
      <c r="G567" s="35" t="s">
        <v>3321</v>
      </c>
      <c r="H567" s="35" t="s">
        <v>3322</v>
      </c>
      <c r="I567" s="35" t="s">
        <v>3323</v>
      </c>
      <c r="J567" s="35" t="s">
        <v>3322</v>
      </c>
      <c r="K567" s="35" t="s">
        <v>82</v>
      </c>
      <c r="L567" s="35" t="s">
        <v>3324</v>
      </c>
      <c r="M567" s="35" t="s">
        <v>95</v>
      </c>
      <c r="O567" s="35" t="s">
        <v>122</v>
      </c>
    </row>
    <row r="568" spans="1:15" ht="60" hidden="1" x14ac:dyDescent="0.25">
      <c r="A568" s="35">
        <v>608</v>
      </c>
      <c r="B568" s="92">
        <v>3</v>
      </c>
      <c r="C568" s="92">
        <v>164</v>
      </c>
      <c r="D568" s="35" t="s">
        <v>73</v>
      </c>
      <c r="E568" s="35" t="s">
        <v>3325</v>
      </c>
      <c r="F568" s="35" t="s">
        <v>3326</v>
      </c>
      <c r="G568" s="35" t="s">
        <v>3327</v>
      </c>
      <c r="H568" s="35" t="s">
        <v>3328</v>
      </c>
      <c r="I568" s="35" t="s">
        <v>3329</v>
      </c>
      <c r="J568" s="35" t="s">
        <v>3329</v>
      </c>
      <c r="K568" s="35" t="s">
        <v>114</v>
      </c>
      <c r="L568" s="35" t="s">
        <v>3330</v>
      </c>
      <c r="M568" s="35" t="s">
        <v>536</v>
      </c>
      <c r="O568" s="35" t="s">
        <v>86</v>
      </c>
    </row>
    <row r="569" spans="1:15" ht="150" hidden="1" x14ac:dyDescent="0.25">
      <c r="A569" s="35">
        <v>609</v>
      </c>
      <c r="B569" s="92">
        <v>3</v>
      </c>
      <c r="C569" s="92">
        <v>165</v>
      </c>
      <c r="D569" s="35" t="s">
        <v>73</v>
      </c>
      <c r="E569" s="35" t="s">
        <v>3331</v>
      </c>
      <c r="F569" s="35" t="s">
        <v>3332</v>
      </c>
      <c r="G569" s="35" t="s">
        <v>3333</v>
      </c>
      <c r="H569" s="35" t="s">
        <v>3334</v>
      </c>
      <c r="I569" s="35" t="s">
        <v>3335</v>
      </c>
      <c r="J569" s="35" t="s">
        <v>3334</v>
      </c>
      <c r="K569" s="35" t="s">
        <v>82</v>
      </c>
      <c r="L569" s="35" t="s">
        <v>3336</v>
      </c>
      <c r="M569" s="35" t="s">
        <v>536</v>
      </c>
      <c r="O569" s="35" t="s">
        <v>122</v>
      </c>
    </row>
    <row r="570" spans="1:15" ht="105" hidden="1" x14ac:dyDescent="0.25">
      <c r="A570" s="35">
        <v>610</v>
      </c>
      <c r="B570" s="92">
        <v>3</v>
      </c>
      <c r="C570" s="92">
        <v>166</v>
      </c>
      <c r="D570" s="35" t="s">
        <v>73</v>
      </c>
      <c r="E570" s="35" t="s">
        <v>3337</v>
      </c>
      <c r="F570" s="35" t="s">
        <v>2555</v>
      </c>
      <c r="G570" s="35" t="s">
        <v>3338</v>
      </c>
      <c r="H570" s="35" t="s">
        <v>2394</v>
      </c>
      <c r="I570" s="35" t="s">
        <v>3339</v>
      </c>
      <c r="J570" s="35" t="s">
        <v>3339</v>
      </c>
      <c r="K570" s="35" t="s">
        <v>114</v>
      </c>
      <c r="L570" s="35" t="s">
        <v>3340</v>
      </c>
      <c r="M570" s="35" t="s">
        <v>536</v>
      </c>
      <c r="O570" s="35" t="s">
        <v>122</v>
      </c>
    </row>
    <row r="571" spans="1:15" ht="180" hidden="1" x14ac:dyDescent="0.25">
      <c r="A571" s="35">
        <v>611</v>
      </c>
      <c r="B571" s="92">
        <v>2</v>
      </c>
      <c r="C571" s="92">
        <v>157</v>
      </c>
      <c r="D571" s="35" t="s">
        <v>73</v>
      </c>
      <c r="E571" s="35" t="s">
        <v>3341</v>
      </c>
      <c r="F571" s="35" t="s">
        <v>2519</v>
      </c>
      <c r="G571" s="35" t="s">
        <v>3342</v>
      </c>
      <c r="H571" s="35" t="s">
        <v>3343</v>
      </c>
      <c r="I571" s="35" t="s">
        <v>3344</v>
      </c>
      <c r="J571" s="35" t="s">
        <v>3342</v>
      </c>
      <c r="K571" s="35" t="s">
        <v>101</v>
      </c>
      <c r="L571" s="35" t="s">
        <v>3345</v>
      </c>
      <c r="M571" s="35" t="s">
        <v>95</v>
      </c>
      <c r="O571" s="35" t="s">
        <v>122</v>
      </c>
    </row>
    <row r="572" spans="1:15" ht="75" hidden="1" x14ac:dyDescent="0.25">
      <c r="A572" s="35">
        <v>612</v>
      </c>
      <c r="B572" s="92">
        <v>2</v>
      </c>
      <c r="C572" s="92">
        <v>158</v>
      </c>
      <c r="D572" s="35" t="s">
        <v>73</v>
      </c>
      <c r="E572" s="35" t="s">
        <v>3346</v>
      </c>
      <c r="F572" s="35" t="s">
        <v>3347</v>
      </c>
      <c r="G572" s="35" t="s">
        <v>3348</v>
      </c>
      <c r="H572" s="35" t="s">
        <v>3349</v>
      </c>
      <c r="I572" s="35" t="s">
        <v>3350</v>
      </c>
      <c r="J572" s="35" t="s">
        <v>3347</v>
      </c>
      <c r="K572" s="35" t="s">
        <v>69</v>
      </c>
      <c r="L572" s="35" t="s">
        <v>3351</v>
      </c>
      <c r="M572" s="35" t="s">
        <v>95</v>
      </c>
      <c r="O572" s="35" t="s">
        <v>74</v>
      </c>
    </row>
    <row r="573" spans="1:15" ht="75" x14ac:dyDescent="0.25">
      <c r="A573" s="35">
        <v>613</v>
      </c>
      <c r="B573" s="92">
        <v>1</v>
      </c>
      <c r="C573" s="92">
        <v>78</v>
      </c>
      <c r="D573" s="35" t="s">
        <v>73</v>
      </c>
      <c r="E573" s="35" t="s">
        <v>3352</v>
      </c>
      <c r="F573" s="35" t="s">
        <v>3353</v>
      </c>
      <c r="G573" s="35" t="s">
        <v>3354</v>
      </c>
      <c r="H573" s="35" t="s">
        <v>3355</v>
      </c>
      <c r="I573" s="35" t="s">
        <v>3356</v>
      </c>
      <c r="J573" s="35" t="s">
        <v>3356</v>
      </c>
      <c r="K573" s="35" t="s">
        <v>114</v>
      </c>
      <c r="L573" s="35" t="s">
        <v>3357</v>
      </c>
      <c r="M573" s="35" t="s">
        <v>72</v>
      </c>
      <c r="O573" s="35" t="s">
        <v>74</v>
      </c>
    </row>
    <row r="574" spans="1:15" ht="90" x14ac:dyDescent="0.25">
      <c r="A574" s="35">
        <v>614</v>
      </c>
      <c r="B574" s="92">
        <v>1</v>
      </c>
      <c r="C574" s="92">
        <v>79</v>
      </c>
      <c r="D574" s="35" t="s">
        <v>73</v>
      </c>
      <c r="E574" s="35" t="s">
        <v>3358</v>
      </c>
      <c r="F574" s="35" t="s">
        <v>3359</v>
      </c>
      <c r="G574" s="35" t="s">
        <v>3360</v>
      </c>
      <c r="H574" s="35" t="s">
        <v>3361</v>
      </c>
      <c r="I574" s="35" t="s">
        <v>3362</v>
      </c>
      <c r="J574" s="35" t="s">
        <v>3360</v>
      </c>
      <c r="K574" s="35" t="s">
        <v>101</v>
      </c>
      <c r="L574" s="35" t="s">
        <v>3363</v>
      </c>
      <c r="M574" s="35" t="s">
        <v>72</v>
      </c>
      <c r="O574" s="35" t="s">
        <v>86</v>
      </c>
    </row>
    <row r="575" spans="1:15" ht="165" hidden="1" x14ac:dyDescent="0.25">
      <c r="A575" s="35">
        <v>615</v>
      </c>
      <c r="B575" s="92">
        <v>3</v>
      </c>
      <c r="C575" s="92">
        <v>167</v>
      </c>
      <c r="D575" s="35" t="s">
        <v>73</v>
      </c>
      <c r="E575" s="35" t="s">
        <v>3364</v>
      </c>
      <c r="F575" s="35" t="s">
        <v>3365</v>
      </c>
      <c r="G575" s="35" t="s">
        <v>3366</v>
      </c>
      <c r="H575" s="35" t="s">
        <v>3367</v>
      </c>
      <c r="I575" s="35" t="s">
        <v>3368</v>
      </c>
      <c r="J575" s="35" t="s">
        <v>3368</v>
      </c>
      <c r="K575" s="35" t="s">
        <v>114</v>
      </c>
      <c r="L575" s="35" t="s">
        <v>3369</v>
      </c>
      <c r="M575" s="35" t="s">
        <v>536</v>
      </c>
      <c r="O575" s="35" t="s">
        <v>74</v>
      </c>
    </row>
    <row r="576" spans="1:15" ht="60" x14ac:dyDescent="0.25">
      <c r="A576" s="35">
        <v>616</v>
      </c>
      <c r="B576" s="92">
        <v>1</v>
      </c>
      <c r="C576" s="92">
        <v>80</v>
      </c>
      <c r="D576" s="35" t="s">
        <v>73</v>
      </c>
      <c r="E576" s="35" t="s">
        <v>3370</v>
      </c>
      <c r="F576" s="35" t="s">
        <v>3371</v>
      </c>
      <c r="G576" s="35" t="s">
        <v>706</v>
      </c>
      <c r="H576" s="35" t="s">
        <v>707</v>
      </c>
      <c r="I576" s="35" t="s">
        <v>3372</v>
      </c>
      <c r="J576" s="35" t="s">
        <v>706</v>
      </c>
      <c r="K576" s="35" t="s">
        <v>101</v>
      </c>
      <c r="L576" s="35" t="s">
        <v>3373</v>
      </c>
      <c r="M576" s="35" t="s">
        <v>72</v>
      </c>
      <c r="O576" s="35" t="s">
        <v>74</v>
      </c>
    </row>
    <row r="577" spans="1:15" ht="45" hidden="1" x14ac:dyDescent="0.25">
      <c r="A577" s="35">
        <v>617</v>
      </c>
      <c r="B577" s="92">
        <v>3</v>
      </c>
      <c r="C577" s="92">
        <v>168</v>
      </c>
      <c r="D577" s="35" t="s">
        <v>73</v>
      </c>
      <c r="E577" s="35" t="s">
        <v>3374</v>
      </c>
      <c r="F577" s="35" t="s">
        <v>3375</v>
      </c>
      <c r="G577" s="35" t="s">
        <v>3376</v>
      </c>
      <c r="H577" s="35" t="s">
        <v>3377</v>
      </c>
      <c r="I577" s="35" t="s">
        <v>3378</v>
      </c>
      <c r="J577" s="35" t="s">
        <v>3377</v>
      </c>
      <c r="K577" s="35" t="s">
        <v>82</v>
      </c>
      <c r="L577" s="35" t="s">
        <v>3379</v>
      </c>
      <c r="M577" s="35" t="s">
        <v>536</v>
      </c>
      <c r="O577" s="35" t="s">
        <v>74</v>
      </c>
    </row>
    <row r="578" spans="1:15" ht="75" hidden="1" x14ac:dyDescent="0.25">
      <c r="A578" s="35">
        <v>618</v>
      </c>
      <c r="B578" s="92">
        <v>3</v>
      </c>
      <c r="C578" s="92">
        <v>169</v>
      </c>
      <c r="D578" s="35" t="s">
        <v>73</v>
      </c>
      <c r="E578" s="35" t="s">
        <v>3380</v>
      </c>
      <c r="F578" s="35" t="s">
        <v>1254</v>
      </c>
      <c r="G578" s="35" t="s">
        <v>3381</v>
      </c>
      <c r="H578" s="35" t="s">
        <v>3382</v>
      </c>
      <c r="I578" s="35" t="s">
        <v>3383</v>
      </c>
      <c r="J578" s="35" t="s">
        <v>3381</v>
      </c>
      <c r="K578" s="35" t="s">
        <v>101</v>
      </c>
      <c r="L578" s="35" t="s">
        <v>3384</v>
      </c>
      <c r="M578" s="35" t="s">
        <v>536</v>
      </c>
      <c r="O578" s="35" t="s">
        <v>86</v>
      </c>
    </row>
    <row r="579" spans="1:15" ht="120" hidden="1" x14ac:dyDescent="0.25">
      <c r="A579" s="35">
        <v>619</v>
      </c>
      <c r="B579" s="92">
        <v>2</v>
      </c>
      <c r="C579" s="92">
        <v>159</v>
      </c>
      <c r="D579" s="35" t="s">
        <v>73</v>
      </c>
      <c r="E579" s="35" t="s">
        <v>3385</v>
      </c>
      <c r="F579" s="35" t="s">
        <v>1359</v>
      </c>
      <c r="G579" s="35" t="s">
        <v>3386</v>
      </c>
      <c r="H579" s="35" t="s">
        <v>3387</v>
      </c>
      <c r="I579" s="35" t="s">
        <v>3388</v>
      </c>
      <c r="J579" s="35" t="s">
        <v>1359</v>
      </c>
      <c r="K579" s="35" t="s">
        <v>69</v>
      </c>
      <c r="L579" s="35" t="s">
        <v>3389</v>
      </c>
      <c r="M579" s="35" t="s">
        <v>95</v>
      </c>
      <c r="O579" s="35" t="s">
        <v>122</v>
      </c>
    </row>
    <row r="580" spans="1:15" ht="75" hidden="1" x14ac:dyDescent="0.25">
      <c r="A580" s="35">
        <v>620</v>
      </c>
      <c r="B580" s="92">
        <v>3</v>
      </c>
      <c r="C580" s="92">
        <v>170</v>
      </c>
      <c r="D580" s="35" t="s">
        <v>73</v>
      </c>
      <c r="E580" s="35" t="s">
        <v>3390</v>
      </c>
      <c r="F580" s="35" t="s">
        <v>3391</v>
      </c>
      <c r="G580" s="35" t="s">
        <v>3392</v>
      </c>
      <c r="H580" s="35" t="s">
        <v>3393</v>
      </c>
      <c r="I580" s="35" t="s">
        <v>3394</v>
      </c>
      <c r="J580" s="35" t="s">
        <v>3394</v>
      </c>
      <c r="K580" s="35" t="s">
        <v>114</v>
      </c>
      <c r="L580" s="35" t="s">
        <v>3395</v>
      </c>
      <c r="M580" s="35" t="s">
        <v>536</v>
      </c>
      <c r="O580" s="35" t="s">
        <v>86</v>
      </c>
    </row>
    <row r="581" spans="1:15" ht="60" hidden="1" x14ac:dyDescent="0.25">
      <c r="A581" s="35">
        <v>622</v>
      </c>
      <c r="B581" s="92">
        <v>2</v>
      </c>
      <c r="C581" s="92">
        <v>160</v>
      </c>
      <c r="D581" s="35" t="s">
        <v>73</v>
      </c>
      <c r="E581" s="35" t="s">
        <v>3396</v>
      </c>
      <c r="F581" s="35" t="s">
        <v>3397</v>
      </c>
      <c r="G581" s="35" t="s">
        <v>3398</v>
      </c>
      <c r="H581" s="35" t="s">
        <v>3399</v>
      </c>
      <c r="I581" s="35" t="s">
        <v>3400</v>
      </c>
      <c r="J581" s="35" t="s">
        <v>3398</v>
      </c>
      <c r="K581" s="35" t="s">
        <v>101</v>
      </c>
      <c r="L581" s="35" t="s">
        <v>3401</v>
      </c>
      <c r="M581" s="35" t="s">
        <v>95</v>
      </c>
      <c r="O581" s="35" t="s">
        <v>74</v>
      </c>
    </row>
    <row r="582" spans="1:15" ht="150" hidden="1" x14ac:dyDescent="0.25">
      <c r="A582" s="35">
        <v>623</v>
      </c>
      <c r="B582" s="92">
        <v>5</v>
      </c>
      <c r="C582" s="92">
        <v>164</v>
      </c>
      <c r="D582" s="35" t="s">
        <v>3689</v>
      </c>
      <c r="E582" s="35" t="s">
        <v>3402</v>
      </c>
      <c r="F582" s="35" t="s">
        <v>3403</v>
      </c>
      <c r="G582" s="35" t="s">
        <v>3404</v>
      </c>
      <c r="H582" s="35" t="s">
        <v>3405</v>
      </c>
      <c r="I582" s="35" t="s">
        <v>3406</v>
      </c>
      <c r="J582" s="35" t="s">
        <v>3405</v>
      </c>
      <c r="K582" s="35" t="s">
        <v>82</v>
      </c>
      <c r="L582" s="35" t="s">
        <v>3407</v>
      </c>
      <c r="M582" t="s">
        <v>84</v>
      </c>
      <c r="N582" s="35" t="s">
        <v>3408</v>
      </c>
      <c r="O582" s="35" t="s">
        <v>74</v>
      </c>
    </row>
    <row r="583" spans="1:15" ht="210" hidden="1" x14ac:dyDescent="0.25">
      <c r="A583" s="35">
        <v>624</v>
      </c>
      <c r="B583" s="92">
        <v>4</v>
      </c>
      <c r="C583" s="92">
        <v>8</v>
      </c>
      <c r="D583" s="35" t="s">
        <v>73</v>
      </c>
      <c r="E583" s="98" t="s">
        <v>3409</v>
      </c>
      <c r="F583" s="99" t="s">
        <v>3410</v>
      </c>
      <c r="G583" s="99" t="s">
        <v>3411</v>
      </c>
      <c r="H583" s="99" t="s">
        <v>3412</v>
      </c>
      <c r="I583" s="99" t="s">
        <v>3413</v>
      </c>
      <c r="J583" s="99" t="s">
        <v>3411</v>
      </c>
      <c r="K583" s="99" t="s">
        <v>101</v>
      </c>
      <c r="L583" s="99" t="s">
        <v>3414</v>
      </c>
      <c r="M583" t="s">
        <v>84</v>
      </c>
      <c r="N583" s="35" t="s">
        <v>3415</v>
      </c>
      <c r="O583" s="35" t="s">
        <v>86</v>
      </c>
    </row>
    <row r="584" spans="1:15" ht="195" hidden="1" x14ac:dyDescent="0.25">
      <c r="A584" s="35">
        <v>625</v>
      </c>
      <c r="B584" s="92">
        <v>4</v>
      </c>
      <c r="C584" s="92">
        <v>9</v>
      </c>
      <c r="D584" s="35" t="s">
        <v>73</v>
      </c>
      <c r="E584" s="35" t="s">
        <v>3416</v>
      </c>
      <c r="F584" s="35" t="s">
        <v>3417</v>
      </c>
      <c r="G584" s="35" t="s">
        <v>3418</v>
      </c>
      <c r="H584" s="35" t="s">
        <v>3419</v>
      </c>
      <c r="I584" s="35" t="s">
        <v>3420</v>
      </c>
      <c r="J584" s="99" t="s">
        <v>3418</v>
      </c>
      <c r="K584" s="99" t="s">
        <v>101</v>
      </c>
      <c r="L584" s="99" t="s">
        <v>3421</v>
      </c>
      <c r="M584" t="s">
        <v>84</v>
      </c>
      <c r="N584" s="35" t="s">
        <v>3408</v>
      </c>
      <c r="O584" s="35" t="s">
        <v>86</v>
      </c>
    </row>
    <row r="585" spans="1:15" ht="195" hidden="1" x14ac:dyDescent="0.25">
      <c r="A585" s="35">
        <v>626</v>
      </c>
      <c r="B585" s="92">
        <v>4</v>
      </c>
      <c r="C585" s="92">
        <v>10</v>
      </c>
      <c r="D585" s="35" t="s">
        <v>73</v>
      </c>
      <c r="E585" s="35" t="s">
        <v>3423</v>
      </c>
      <c r="F585" s="35" t="s">
        <v>3424</v>
      </c>
      <c r="G585" s="35" t="s">
        <v>3425</v>
      </c>
      <c r="H585" s="35" t="s">
        <v>3426</v>
      </c>
      <c r="I585" s="35" t="s">
        <v>3427</v>
      </c>
      <c r="J585" s="35" t="s">
        <v>3427</v>
      </c>
      <c r="K585" s="35" t="s">
        <v>114</v>
      </c>
      <c r="L585" s="35" t="s">
        <v>3428</v>
      </c>
      <c r="M585" t="s">
        <v>84</v>
      </c>
      <c r="N585" s="35" t="s">
        <v>3408</v>
      </c>
      <c r="O585" s="35" t="s">
        <v>86</v>
      </c>
    </row>
    <row r="586" spans="1:15" ht="165" hidden="1" x14ac:dyDescent="0.25">
      <c r="A586" s="35">
        <v>627</v>
      </c>
      <c r="B586" s="92">
        <v>4</v>
      </c>
      <c r="C586" s="92">
        <v>11</v>
      </c>
      <c r="D586" s="35" t="s">
        <v>73</v>
      </c>
      <c r="E586" s="35" t="s">
        <v>3429</v>
      </c>
      <c r="F586" s="35" t="s">
        <v>3430</v>
      </c>
      <c r="G586" s="35" t="s">
        <v>3431</v>
      </c>
      <c r="H586" s="35" t="s">
        <v>3432</v>
      </c>
      <c r="I586" s="35" t="s">
        <v>3433</v>
      </c>
      <c r="J586" s="35" t="s">
        <v>3431</v>
      </c>
      <c r="K586" s="35" t="s">
        <v>101</v>
      </c>
      <c r="L586" s="35" t="s">
        <v>3434</v>
      </c>
      <c r="M586" t="s">
        <v>84</v>
      </c>
      <c r="N586" s="35" t="s">
        <v>3415</v>
      </c>
      <c r="O586" s="35" t="s">
        <v>86</v>
      </c>
    </row>
    <row r="587" spans="1:15" ht="165" hidden="1" x14ac:dyDescent="0.25">
      <c r="A587" s="35">
        <v>628</v>
      </c>
      <c r="B587" s="92">
        <v>5</v>
      </c>
      <c r="C587" s="92">
        <v>165</v>
      </c>
      <c r="D587" s="35" t="s">
        <v>3689</v>
      </c>
      <c r="E587" s="35" t="s">
        <v>3435</v>
      </c>
      <c r="F587" s="35" t="s">
        <v>3436</v>
      </c>
      <c r="G587" s="35" t="s">
        <v>677</v>
      </c>
      <c r="H587" s="35" t="s">
        <v>678</v>
      </c>
      <c r="I587" s="35" t="s">
        <v>3437</v>
      </c>
      <c r="J587" s="35" t="s">
        <v>3436</v>
      </c>
      <c r="K587" s="35" t="s">
        <v>69</v>
      </c>
      <c r="L587" s="35" t="s">
        <v>3438</v>
      </c>
      <c r="M587" t="s">
        <v>84</v>
      </c>
      <c r="N587" s="35" t="s">
        <v>3439</v>
      </c>
      <c r="O587" s="35" t="s">
        <v>86</v>
      </c>
    </row>
    <row r="588" spans="1:15" ht="150" hidden="1" x14ac:dyDescent="0.25">
      <c r="A588" s="35">
        <v>629</v>
      </c>
      <c r="B588" s="92">
        <v>4</v>
      </c>
      <c r="C588" s="92">
        <v>12</v>
      </c>
      <c r="D588" s="35" t="s">
        <v>73</v>
      </c>
      <c r="E588" s="35" t="s">
        <v>3440</v>
      </c>
      <c r="F588" s="35" t="s">
        <v>3441</v>
      </c>
      <c r="G588" s="35" t="s">
        <v>3442</v>
      </c>
      <c r="H588" s="35" t="s">
        <v>3443</v>
      </c>
      <c r="I588" s="35" t="s">
        <v>3444</v>
      </c>
      <c r="J588" s="35" t="s">
        <v>3444</v>
      </c>
      <c r="K588" s="35" t="s">
        <v>114</v>
      </c>
      <c r="L588" s="35" t="s">
        <v>3445</v>
      </c>
      <c r="M588" t="s">
        <v>84</v>
      </c>
      <c r="N588" s="35" t="s">
        <v>3446</v>
      </c>
      <c r="O588" s="35" t="s">
        <v>86</v>
      </c>
    </row>
    <row r="589" spans="1:15" ht="225" hidden="1" x14ac:dyDescent="0.25">
      <c r="A589" s="35">
        <v>630</v>
      </c>
      <c r="B589" s="92">
        <v>5</v>
      </c>
      <c r="C589" s="92">
        <v>166</v>
      </c>
      <c r="D589" s="35" t="s">
        <v>3689</v>
      </c>
      <c r="E589" s="98" t="s">
        <v>3447</v>
      </c>
      <c r="F589" s="99" t="s">
        <v>3448</v>
      </c>
      <c r="G589" s="99" t="s">
        <v>3449</v>
      </c>
      <c r="H589" s="99" t="s">
        <v>3450</v>
      </c>
      <c r="I589" s="99" t="s">
        <v>3451</v>
      </c>
      <c r="J589" s="99" t="s">
        <v>3451</v>
      </c>
      <c r="K589" s="99" t="s">
        <v>114</v>
      </c>
      <c r="L589" s="99" t="s">
        <v>3452</v>
      </c>
      <c r="M589" t="s">
        <v>84</v>
      </c>
      <c r="N589" s="35" t="s">
        <v>717</v>
      </c>
      <c r="O589" s="35" t="s">
        <v>86</v>
      </c>
    </row>
    <row r="590" spans="1:15" ht="150" hidden="1" x14ac:dyDescent="0.25">
      <c r="A590" s="35">
        <v>631</v>
      </c>
      <c r="B590" s="92">
        <v>4</v>
      </c>
      <c r="C590" s="92">
        <v>13</v>
      </c>
      <c r="D590" s="35" t="s">
        <v>73</v>
      </c>
      <c r="E590" s="98" t="s">
        <v>3453</v>
      </c>
      <c r="F590" s="99" t="s">
        <v>3436</v>
      </c>
      <c r="G590" s="99" t="s">
        <v>677</v>
      </c>
      <c r="H590" s="99" t="s">
        <v>3454</v>
      </c>
      <c r="I590" s="99" t="s">
        <v>3437</v>
      </c>
      <c r="J590" s="99" t="s">
        <v>677</v>
      </c>
      <c r="K590" s="99" t="s">
        <v>101</v>
      </c>
      <c r="L590" s="99" t="s">
        <v>3455</v>
      </c>
      <c r="M590" t="s">
        <v>84</v>
      </c>
      <c r="N590" s="35" t="s">
        <v>3439</v>
      </c>
      <c r="O590" s="35" t="s">
        <v>86</v>
      </c>
    </row>
    <row r="591" spans="1:15" ht="120" hidden="1" x14ac:dyDescent="0.25">
      <c r="A591" s="35">
        <v>632</v>
      </c>
      <c r="B591" s="92">
        <v>4</v>
      </c>
      <c r="C591" s="92">
        <v>14</v>
      </c>
      <c r="D591" s="35" t="s">
        <v>73</v>
      </c>
      <c r="E591" s="98" t="s">
        <v>3456</v>
      </c>
      <c r="F591" s="99" t="s">
        <v>3457</v>
      </c>
      <c r="G591" s="99" t="s">
        <v>3458</v>
      </c>
      <c r="H591" s="99" t="s">
        <v>3459</v>
      </c>
      <c r="I591" s="99" t="s">
        <v>3460</v>
      </c>
      <c r="J591" s="99" t="s">
        <v>3457</v>
      </c>
      <c r="K591" s="99" t="s">
        <v>69</v>
      </c>
      <c r="L591" s="99" t="s">
        <v>3461</v>
      </c>
      <c r="M591" t="s">
        <v>84</v>
      </c>
      <c r="N591" s="35" t="s">
        <v>3462</v>
      </c>
      <c r="O591" s="35" t="s">
        <v>86</v>
      </c>
    </row>
    <row r="592" spans="1:15" ht="225" hidden="1" x14ac:dyDescent="0.25">
      <c r="A592" s="35">
        <v>633</v>
      </c>
      <c r="B592" s="92">
        <v>5</v>
      </c>
      <c r="C592" s="92">
        <v>167</v>
      </c>
      <c r="D592" s="35" t="s">
        <v>3689</v>
      </c>
      <c r="E592" s="98" t="s">
        <v>3463</v>
      </c>
      <c r="F592" s="99" t="s">
        <v>3464</v>
      </c>
      <c r="G592" s="99" t="s">
        <v>3459</v>
      </c>
      <c r="H592" s="99" t="s">
        <v>3465</v>
      </c>
      <c r="I592" s="99" t="s">
        <v>3466</v>
      </c>
      <c r="J592" s="99" t="s">
        <v>3465</v>
      </c>
      <c r="K592" s="99" t="s">
        <v>82</v>
      </c>
      <c r="L592" s="99" t="s">
        <v>3467</v>
      </c>
      <c r="M592" t="s">
        <v>84</v>
      </c>
      <c r="N592" s="35" t="s">
        <v>3462</v>
      </c>
      <c r="O592" s="35" t="s">
        <v>86</v>
      </c>
    </row>
    <row r="593" spans="1:15" ht="195" hidden="1" x14ac:dyDescent="0.25">
      <c r="A593" s="35">
        <v>634</v>
      </c>
      <c r="B593" s="92">
        <v>4</v>
      </c>
      <c r="C593" s="92">
        <v>15</v>
      </c>
      <c r="D593" s="35" t="s">
        <v>73</v>
      </c>
      <c r="E593" s="35" t="s">
        <v>3468</v>
      </c>
      <c r="F593" s="35" t="s">
        <v>3469</v>
      </c>
      <c r="G593" s="35" t="s">
        <v>3470</v>
      </c>
      <c r="H593" s="35" t="s">
        <v>3471</v>
      </c>
      <c r="I593" s="35" t="s">
        <v>3472</v>
      </c>
      <c r="J593" s="35" t="s">
        <v>3469</v>
      </c>
      <c r="K593" s="35" t="s">
        <v>69</v>
      </c>
      <c r="L593" s="35" t="s">
        <v>3473</v>
      </c>
      <c r="M593" t="s">
        <v>84</v>
      </c>
      <c r="N593" s="35" t="s">
        <v>3408</v>
      </c>
      <c r="O593" s="35" t="s">
        <v>86</v>
      </c>
    </row>
    <row r="594" spans="1:15" ht="285" hidden="1" x14ac:dyDescent="0.25">
      <c r="A594" s="35">
        <v>635</v>
      </c>
      <c r="B594" s="92">
        <v>5</v>
      </c>
      <c r="C594" s="92">
        <v>168</v>
      </c>
      <c r="D594" s="35" t="s">
        <v>3689</v>
      </c>
      <c r="E594" s="98" t="s">
        <v>3474</v>
      </c>
      <c r="F594" s="99" t="s">
        <v>3475</v>
      </c>
      <c r="G594" s="99" t="s">
        <v>3476</v>
      </c>
      <c r="H594" s="99" t="s">
        <v>3477</v>
      </c>
      <c r="I594" s="99" t="s">
        <v>3478</v>
      </c>
      <c r="J594" s="99" t="s">
        <v>3478</v>
      </c>
      <c r="K594" s="99" t="s">
        <v>114</v>
      </c>
      <c r="L594" s="99" t="s">
        <v>3479</v>
      </c>
      <c r="M594" t="s">
        <v>84</v>
      </c>
      <c r="N594" s="35" t="s">
        <v>717</v>
      </c>
      <c r="O594" s="35" t="s">
        <v>86</v>
      </c>
    </row>
    <row r="595" spans="1:15" ht="165" hidden="1" x14ac:dyDescent="0.25">
      <c r="A595" s="35">
        <v>636</v>
      </c>
      <c r="B595" s="92">
        <v>5</v>
      </c>
      <c r="C595" s="92">
        <v>169</v>
      </c>
      <c r="D595" s="35" t="s">
        <v>3689</v>
      </c>
      <c r="E595" s="35" t="s">
        <v>3480</v>
      </c>
      <c r="F595" s="35" t="s">
        <v>3481</v>
      </c>
      <c r="G595" s="35" t="s">
        <v>3482</v>
      </c>
      <c r="H595" s="35" t="s">
        <v>3483</v>
      </c>
      <c r="I595" s="35" t="s">
        <v>3484</v>
      </c>
      <c r="J595" s="35" t="s">
        <v>3483</v>
      </c>
      <c r="K595" s="35" t="s">
        <v>82</v>
      </c>
      <c r="L595" s="35" t="s">
        <v>3485</v>
      </c>
      <c r="M595" t="s">
        <v>84</v>
      </c>
      <c r="N595" s="35" t="s">
        <v>3486</v>
      </c>
      <c r="O595" s="35" t="s">
        <v>86</v>
      </c>
    </row>
    <row r="596" spans="1:15" ht="150" hidden="1" x14ac:dyDescent="0.25">
      <c r="A596" s="35">
        <v>637</v>
      </c>
      <c r="B596" s="92">
        <v>5</v>
      </c>
      <c r="C596" s="92">
        <v>170</v>
      </c>
      <c r="D596" s="35" t="s">
        <v>3689</v>
      </c>
      <c r="E596" s="35" t="s">
        <v>3487</v>
      </c>
      <c r="F596" s="35" t="s">
        <v>3488</v>
      </c>
      <c r="G596" s="35" t="s">
        <v>3489</v>
      </c>
      <c r="H596" s="35" t="s">
        <v>3490</v>
      </c>
      <c r="I596" s="35" t="s">
        <v>3491</v>
      </c>
      <c r="J596" s="35" t="s">
        <v>3491</v>
      </c>
      <c r="K596" s="35" t="s">
        <v>114</v>
      </c>
      <c r="L596" s="35" t="s">
        <v>3492</v>
      </c>
      <c r="M596" t="s">
        <v>84</v>
      </c>
      <c r="N596" s="35" t="s">
        <v>3493</v>
      </c>
      <c r="O596" s="35" t="s">
        <v>86</v>
      </c>
    </row>
    <row r="597" spans="1:15" ht="300" hidden="1" x14ac:dyDescent="0.25">
      <c r="A597" s="35">
        <v>638</v>
      </c>
      <c r="B597" s="92">
        <v>5</v>
      </c>
      <c r="C597" s="92">
        <v>171</v>
      </c>
      <c r="D597" s="35" t="s">
        <v>3689</v>
      </c>
      <c r="E597" s="35" t="s">
        <v>3494</v>
      </c>
      <c r="F597" s="35" t="s">
        <v>3495</v>
      </c>
      <c r="G597" s="35" t="s">
        <v>3496</v>
      </c>
      <c r="H597" s="35" t="s">
        <v>3497</v>
      </c>
      <c r="I597" s="35" t="s">
        <v>3498</v>
      </c>
      <c r="J597" s="35" t="s">
        <v>3497</v>
      </c>
      <c r="K597" s="35" t="s">
        <v>82</v>
      </c>
      <c r="L597" s="35" t="s">
        <v>3499</v>
      </c>
      <c r="M597" t="s">
        <v>84</v>
      </c>
      <c r="N597" s="35" t="s">
        <v>3500</v>
      </c>
      <c r="O597" s="35" t="s">
        <v>86</v>
      </c>
    </row>
    <row r="598" spans="1:15" ht="180" hidden="1" x14ac:dyDescent="0.25">
      <c r="A598" s="35">
        <v>639</v>
      </c>
      <c r="B598" s="92">
        <v>5</v>
      </c>
      <c r="C598" s="92">
        <v>172</v>
      </c>
      <c r="D598" s="35" t="s">
        <v>3689</v>
      </c>
      <c r="E598" s="35" t="s">
        <v>3501</v>
      </c>
      <c r="F598" s="35" t="s">
        <v>3502</v>
      </c>
      <c r="G598" s="35" t="s">
        <v>3503</v>
      </c>
      <c r="H598" s="35" t="s">
        <v>3504</v>
      </c>
      <c r="I598" s="35" t="s">
        <v>3505</v>
      </c>
      <c r="J598" s="35" t="s">
        <v>3505</v>
      </c>
      <c r="K598" s="35" t="s">
        <v>114</v>
      </c>
      <c r="L598" s="35" t="s">
        <v>3506</v>
      </c>
      <c r="M598" t="s">
        <v>84</v>
      </c>
      <c r="N598" s="35" t="s">
        <v>3500</v>
      </c>
      <c r="O598" s="35" t="s">
        <v>86</v>
      </c>
    </row>
    <row r="599" spans="1:15" ht="180" hidden="1" x14ac:dyDescent="0.25">
      <c r="A599" s="35">
        <v>640</v>
      </c>
      <c r="B599" s="92">
        <v>5</v>
      </c>
      <c r="C599" s="92">
        <v>173</v>
      </c>
      <c r="D599" s="35" t="s">
        <v>3689</v>
      </c>
      <c r="E599" s="98" t="s">
        <v>3507</v>
      </c>
      <c r="F599" s="99" t="s">
        <v>3508</v>
      </c>
      <c r="G599" s="99" t="s">
        <v>3509</v>
      </c>
      <c r="H599" s="99" t="s">
        <v>3510</v>
      </c>
      <c r="I599" s="99" t="s">
        <v>3511</v>
      </c>
      <c r="J599" s="99" t="s">
        <v>3509</v>
      </c>
      <c r="K599" s="99" t="s">
        <v>101</v>
      </c>
      <c r="L599" s="99" t="s">
        <v>3512</v>
      </c>
      <c r="M599" t="s">
        <v>84</v>
      </c>
      <c r="N599" s="35" t="s">
        <v>3493</v>
      </c>
      <c r="O599" s="35" t="s">
        <v>74</v>
      </c>
    </row>
    <row r="600" spans="1:15" ht="225" hidden="1" x14ac:dyDescent="0.25">
      <c r="A600" s="35">
        <v>641</v>
      </c>
      <c r="B600" s="92">
        <v>5</v>
      </c>
      <c r="C600" s="92">
        <v>174</v>
      </c>
      <c r="D600" s="35" t="s">
        <v>3689</v>
      </c>
      <c r="E600" s="98" t="s">
        <v>3513</v>
      </c>
      <c r="F600" s="99" t="s">
        <v>3514</v>
      </c>
      <c r="G600" s="99" t="s">
        <v>3515</v>
      </c>
      <c r="H600" s="99" t="s">
        <v>3516</v>
      </c>
      <c r="I600" s="99" t="s">
        <v>3517</v>
      </c>
      <c r="J600" s="99" t="s">
        <v>3515</v>
      </c>
      <c r="K600" s="35" t="s">
        <v>101</v>
      </c>
      <c r="L600" s="99" t="s">
        <v>3518</v>
      </c>
      <c r="M600" t="s">
        <v>84</v>
      </c>
      <c r="N600" s="35" t="s">
        <v>717</v>
      </c>
      <c r="O600" s="35" t="s">
        <v>86</v>
      </c>
    </row>
    <row r="601" spans="1:15" ht="210" hidden="1" x14ac:dyDescent="0.25">
      <c r="A601" s="35">
        <v>642</v>
      </c>
      <c r="B601" s="92">
        <v>5</v>
      </c>
      <c r="C601" s="92">
        <v>175</v>
      </c>
      <c r="D601" s="35" t="s">
        <v>3689</v>
      </c>
      <c r="E601" s="98" t="s">
        <v>3519</v>
      </c>
      <c r="F601" s="99" t="s">
        <v>3520</v>
      </c>
      <c r="G601" s="99" t="s">
        <v>3521</v>
      </c>
      <c r="H601" s="99" t="s">
        <v>3522</v>
      </c>
      <c r="I601" s="99" t="s">
        <v>3523</v>
      </c>
      <c r="J601" s="99" t="s">
        <v>3522</v>
      </c>
      <c r="K601" s="35" t="s">
        <v>82</v>
      </c>
      <c r="L601" s="35" t="s">
        <v>3524</v>
      </c>
      <c r="M601" t="s">
        <v>84</v>
      </c>
      <c r="N601" s="35" t="s">
        <v>717</v>
      </c>
      <c r="O601" s="35" t="s">
        <v>86</v>
      </c>
    </row>
  </sheetData>
  <autoFilter ref="A1:O601">
    <filterColumn colId="1">
      <filters>
        <filter val="1"/>
      </filters>
    </filterColumn>
    <sortState ref="A2:O595">
      <sortCondition ref="A1:A594"/>
    </sortState>
  </autoFilter>
  <conditionalFormatting sqref="L1">
    <cfRule type="duplicateValues" dxfId="39" priority="221"/>
  </conditionalFormatting>
  <conditionalFormatting sqref="L583">
    <cfRule type="duplicateValues" dxfId="38" priority="26"/>
    <cfRule type="duplicateValues" dxfId="37" priority="27"/>
  </conditionalFormatting>
  <conditionalFormatting sqref="L584">
    <cfRule type="duplicateValues" dxfId="36" priority="23"/>
    <cfRule type="duplicateValues" dxfId="35" priority="24"/>
  </conditionalFormatting>
  <conditionalFormatting sqref="L589">
    <cfRule type="duplicateValues" dxfId="34" priority="21"/>
    <cfRule type="duplicateValues" dxfId="33" priority="22"/>
  </conditionalFormatting>
  <conditionalFormatting sqref="L590">
    <cfRule type="duplicateValues" dxfId="32" priority="17"/>
    <cfRule type="duplicateValues" dxfId="31" priority="18"/>
  </conditionalFormatting>
  <conditionalFormatting sqref="L591">
    <cfRule type="duplicateValues" dxfId="30" priority="14"/>
    <cfRule type="duplicateValues" dxfId="29" priority="15"/>
  </conditionalFormatting>
  <conditionalFormatting sqref="L592">
    <cfRule type="duplicateValues" dxfId="28" priority="12"/>
    <cfRule type="duplicateValues" dxfId="27" priority="13"/>
  </conditionalFormatting>
  <conditionalFormatting sqref="L594">
    <cfRule type="duplicateValues" dxfId="26" priority="8"/>
    <cfRule type="duplicateValues" dxfId="25" priority="9"/>
  </conditionalFormatting>
  <conditionalFormatting sqref="L595 L1 L585:L588 L593 L597:L598 L601:L1048576">
    <cfRule type="duplicateValues" dxfId="24" priority="151"/>
  </conditionalFormatting>
  <conditionalFormatting sqref="L599">
    <cfRule type="duplicateValues" dxfId="23" priority="6"/>
    <cfRule type="duplicateValues" dxfId="22" priority="7"/>
  </conditionalFormatting>
  <conditionalFormatting sqref="L600">
    <cfRule type="duplicateValues" dxfId="21" priority="2"/>
    <cfRule type="duplicateValues" dxfId="20" priority="3"/>
  </conditionalFormatting>
  <dataValidations count="3">
    <dataValidation type="list" allowBlank="1" showInputMessage="1" showErrorMessage="1" sqref="M2:M703">
      <formula1>Domain</formula1>
    </dataValidation>
    <dataValidation type="list" allowBlank="1" showInputMessage="1" showErrorMessage="1" sqref="O2:O708">
      <formula1>"Recall,Application,Analysis"</formula1>
    </dataValidation>
    <dataValidation type="list" allowBlank="1" showInputMessage="1" showErrorMessage="1" sqref="D2:D703">
      <formula1>"Practice,Exam"</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X18"/>
  <sheetViews>
    <sheetView zoomScale="80" zoomScaleNormal="80" workbookViewId="0">
      <selection activeCell="A15" sqref="A15"/>
    </sheetView>
  </sheetViews>
  <sheetFormatPr defaultColWidth="9.140625" defaultRowHeight="15" x14ac:dyDescent="0.25"/>
  <cols>
    <col min="1" max="1" width="55" style="8" bestFit="1" customWidth="1"/>
    <col min="2" max="2" width="9.140625" style="8"/>
    <col min="3" max="6" width="11.42578125" style="8" hidden="1" customWidth="1"/>
    <col min="7" max="18" width="14" style="8" customWidth="1"/>
    <col min="19" max="22" width="13.85546875" style="8" hidden="1" customWidth="1"/>
    <col min="23" max="24" width="13.7109375" style="8" hidden="1" customWidth="1"/>
    <col min="25" max="16384" width="9.140625" style="8"/>
  </cols>
  <sheetData>
    <row r="1" spans="1:24" x14ac:dyDescent="0.25">
      <c r="G1" s="104" t="s">
        <v>3546</v>
      </c>
      <c r="H1" s="105"/>
      <c r="I1" s="105"/>
      <c r="J1" s="105"/>
      <c r="K1" s="105"/>
      <c r="L1" s="106"/>
      <c r="M1" s="101" t="s">
        <v>3547</v>
      </c>
      <c r="N1" s="102"/>
      <c r="O1" s="102"/>
      <c r="P1" s="102"/>
      <c r="Q1" s="102"/>
      <c r="R1" s="103"/>
    </row>
    <row r="2" spans="1:24" ht="60" x14ac:dyDescent="0.25">
      <c r="A2" s="1" t="s">
        <v>3548</v>
      </c>
      <c r="B2" s="9"/>
      <c r="C2" s="3" t="s">
        <v>2</v>
      </c>
      <c r="D2" s="3" t="s">
        <v>3</v>
      </c>
      <c r="E2" s="3" t="s">
        <v>4</v>
      </c>
      <c r="F2" s="53" t="s">
        <v>5</v>
      </c>
      <c r="G2" s="55" t="s">
        <v>3549</v>
      </c>
      <c r="H2" s="19" t="s">
        <v>3550</v>
      </c>
      <c r="I2" s="20" t="s">
        <v>3551</v>
      </c>
      <c r="J2" s="21" t="s">
        <v>3552</v>
      </c>
      <c r="K2" s="44" t="s">
        <v>3553</v>
      </c>
      <c r="L2" s="47" t="s">
        <v>12</v>
      </c>
      <c r="M2" s="48" t="s">
        <v>3554</v>
      </c>
      <c r="N2" s="67" t="s">
        <v>3550</v>
      </c>
      <c r="O2" s="20" t="s">
        <v>3551</v>
      </c>
      <c r="P2" s="21" t="s">
        <v>3552</v>
      </c>
      <c r="Q2" s="22" t="s">
        <v>3553</v>
      </c>
      <c r="R2" s="56" t="s">
        <v>12</v>
      </c>
      <c r="S2" s="67" t="s">
        <v>8</v>
      </c>
      <c r="T2" s="20" t="s">
        <v>9</v>
      </c>
      <c r="U2" s="21" t="s">
        <v>10</v>
      </c>
      <c r="V2" s="22" t="s">
        <v>11</v>
      </c>
      <c r="W2" s="23" t="s">
        <v>12</v>
      </c>
      <c r="X2" s="24" t="s">
        <v>13</v>
      </c>
    </row>
    <row r="3" spans="1:24" ht="18.75" x14ac:dyDescent="0.3">
      <c r="A3" s="1"/>
      <c r="B3" s="9"/>
      <c r="C3" s="7">
        <f>SUM(C4:C18)</f>
        <v>0</v>
      </c>
      <c r="D3" s="7">
        <f>SUM(D4:D18)</f>
        <v>0</v>
      </c>
      <c r="E3" s="7">
        <f>SUM(E4:E18)</f>
        <v>0</v>
      </c>
      <c r="F3" s="54">
        <f>SUM(C3:E3)</f>
        <v>0</v>
      </c>
      <c r="G3" s="57" t="e">
        <f t="shared" ref="G3:W3" si="0">SUM(G4:G18)</f>
        <v>#REF!</v>
      </c>
      <c r="H3" s="27" t="e">
        <f t="shared" ref="H3:L3" si="1">SUM(H4:H18)</f>
        <v>#REF!</v>
      </c>
      <c r="I3" s="28" t="e">
        <f t="shared" si="1"/>
        <v>#REF!</v>
      </c>
      <c r="J3" s="29" t="e">
        <f t="shared" si="1"/>
        <v>#REF!</v>
      </c>
      <c r="K3" s="45" t="e">
        <f t="shared" si="1"/>
        <v>#REF!</v>
      </c>
      <c r="L3" s="49" t="e">
        <f t="shared" si="1"/>
        <v>#REF!</v>
      </c>
      <c r="M3" s="50" t="e">
        <f t="shared" ref="M3:R3" si="2">SUM(M4:M18)</f>
        <v>#REF!</v>
      </c>
      <c r="N3" s="68" t="e">
        <f t="shared" si="2"/>
        <v>#REF!</v>
      </c>
      <c r="O3" s="28" t="e">
        <f t="shared" si="2"/>
        <v>#REF!</v>
      </c>
      <c r="P3" s="29" t="e">
        <f t="shared" si="2"/>
        <v>#REF!</v>
      </c>
      <c r="Q3" s="30" t="e">
        <f t="shared" si="2"/>
        <v>#REF!</v>
      </c>
      <c r="R3" s="58" t="e">
        <f t="shared" si="2"/>
        <v>#REF!</v>
      </c>
      <c r="S3" s="68">
        <f t="shared" si="0"/>
        <v>0</v>
      </c>
      <c r="T3" s="28">
        <f t="shared" si="0"/>
        <v>0</v>
      </c>
      <c r="U3" s="29">
        <f t="shared" si="0"/>
        <v>0</v>
      </c>
      <c r="V3" s="30">
        <f t="shared" si="0"/>
        <v>0</v>
      </c>
      <c r="W3" s="31" t="e">
        <f t="shared" si="0"/>
        <v>#REF!</v>
      </c>
      <c r="X3" s="32"/>
    </row>
    <row r="4" spans="1:24" x14ac:dyDescent="0.25">
      <c r="A4" s="76" t="s">
        <v>1654</v>
      </c>
      <c r="B4" s="10"/>
      <c r="C4" s="11"/>
      <c r="D4" s="11"/>
      <c r="E4" s="11"/>
      <c r="F4" s="42">
        <f>SUM(C4:E4)</f>
        <v>0</v>
      </c>
      <c r="G4" s="59" t="e">
        <f>COUNTIFS(#REF!,$A4,#REF!,"N/A (4e)",#REF!,"Practice Test")</f>
        <v>#REF!</v>
      </c>
      <c r="H4" s="12" t="e">
        <f>COUNTIFS(#REF!,$A4,#REF!,"N/A (4e)",#REF!,"Practice Test",#REF!,H$2)</f>
        <v>#REF!</v>
      </c>
      <c r="I4" s="13" t="e">
        <f>COUNTIFS(#REF!,$A4,#REF!,"N/A (4e)",#REF!,"Practice Test",#REF!,I$2)</f>
        <v>#REF!</v>
      </c>
      <c r="J4" s="14" t="e">
        <f>COUNTIFS(#REF!,$A4,#REF!,"N/A (4e)",#REF!,"Practice Test",#REF!,J$2)</f>
        <v>#REF!</v>
      </c>
      <c r="K4" s="46" t="e">
        <f>COUNTIFS(#REF!,$A4,#REF!,"N/A (4e)",#REF!,"Practice Test",#REF!,K$2)</f>
        <v>#REF!</v>
      </c>
      <c r="L4" s="51" t="e">
        <f t="shared" ref="L4:L18" si="3">G4-SUM(H4:K4)</f>
        <v>#REF!</v>
      </c>
      <c r="M4" s="52" t="e">
        <f>COUNTIFS(#REF!,$A4,#REF!,"&lt;&gt;N/A (4e)",#REF!,"Knowledge Check")</f>
        <v>#REF!</v>
      </c>
      <c r="N4" s="69" t="e">
        <f>COUNTIFS(#REF!,$A4,#REF!,"Knowledge Check",#REF!,N$2)</f>
        <v>#REF!</v>
      </c>
      <c r="O4" s="13" t="e">
        <f>COUNTIFS(#REF!,$A4,#REF!,"Knowledge Check",#REF!,O$2)</f>
        <v>#REF!</v>
      </c>
      <c r="P4" s="14" t="e">
        <f>COUNTIFS(#REF!,$A4,#REF!,"Knowledge Check",#REF!,P$2)</f>
        <v>#REF!</v>
      </c>
      <c r="Q4" s="15" t="e">
        <f>COUNTIFS(#REF!,$A4,#REF!,"Knowledge Check",#REF!,Q$2)</f>
        <v>#REF!</v>
      </c>
      <c r="R4" s="60" t="e">
        <f t="shared" ref="R4:R18" si="4">M4-SUM(N4:Q4)</f>
        <v>#REF!</v>
      </c>
      <c r="S4" s="69"/>
      <c r="T4" s="13"/>
      <c r="U4" s="14"/>
      <c r="V4" s="15"/>
      <c r="W4" s="16" t="e">
        <f>F4-#REF!</f>
        <v>#REF!</v>
      </c>
      <c r="X4" s="34" t="e">
        <f>G4-F4</f>
        <v>#REF!</v>
      </c>
    </row>
    <row r="5" spans="1:24" x14ac:dyDescent="0.25">
      <c r="A5" s="75" t="s">
        <v>1744</v>
      </c>
      <c r="B5" s="10"/>
      <c r="C5" s="11"/>
      <c r="D5" s="11"/>
      <c r="E5" s="11"/>
      <c r="F5" s="42">
        <f t="shared" ref="F5:F18" si="5">SUM(C5:E5)</f>
        <v>0</v>
      </c>
      <c r="G5" s="59" t="e">
        <f>COUNTIFS(#REF!,$A5,#REF!,"N/A (4e)",#REF!,"Practice Test")</f>
        <v>#REF!</v>
      </c>
      <c r="H5" s="12" t="e">
        <f>COUNTIFS(#REF!,$A5,#REF!,"N/A (4e)",#REF!,"Practice Test",#REF!,H$2)</f>
        <v>#REF!</v>
      </c>
      <c r="I5" s="13" t="e">
        <f>COUNTIFS(#REF!,$A5,#REF!,"N/A (4e)",#REF!,"Practice Test",#REF!,I$2)</f>
        <v>#REF!</v>
      </c>
      <c r="J5" s="14" t="e">
        <f>COUNTIFS(#REF!,$A5,#REF!,"N/A (4e)",#REF!,"Practice Test",#REF!,J$2)</f>
        <v>#REF!</v>
      </c>
      <c r="K5" s="46" t="e">
        <f>COUNTIFS(#REF!,$A5,#REF!,"N/A (4e)",#REF!,"Practice Test",#REF!,K$2)</f>
        <v>#REF!</v>
      </c>
      <c r="L5" s="51" t="e">
        <f t="shared" si="3"/>
        <v>#REF!</v>
      </c>
      <c r="M5" s="52" t="e">
        <f>COUNTIFS(#REF!,$A5,#REF!,"&lt;&gt;N/A (4e)",#REF!,"Knowledge Check")</f>
        <v>#REF!</v>
      </c>
      <c r="N5" s="69" t="e">
        <f>COUNTIFS(#REF!,$A5,#REF!,"Knowledge Check",#REF!,N$2)</f>
        <v>#REF!</v>
      </c>
      <c r="O5" s="13" t="e">
        <f>COUNTIFS(#REF!,$A5,#REF!,"Knowledge Check",#REF!,O$2)</f>
        <v>#REF!</v>
      </c>
      <c r="P5" s="14" t="e">
        <f>COUNTIFS(#REF!,$A5,#REF!,"Knowledge Check",#REF!,P$2)</f>
        <v>#REF!</v>
      </c>
      <c r="Q5" s="15" t="e">
        <f>COUNTIFS(#REF!,$A5,#REF!,"Knowledge Check",#REF!,Q$2)</f>
        <v>#REF!</v>
      </c>
      <c r="R5" s="60" t="e">
        <f t="shared" si="4"/>
        <v>#REF!</v>
      </c>
      <c r="S5" s="69"/>
      <c r="T5" s="13"/>
      <c r="U5" s="14"/>
      <c r="V5" s="15"/>
      <c r="W5" s="16"/>
      <c r="X5" s="34" t="e">
        <f t="shared" ref="X5:X18" si="6">G5-F5</f>
        <v>#REF!</v>
      </c>
    </row>
    <row r="6" spans="1:24" x14ac:dyDescent="0.25">
      <c r="A6" s="76" t="s">
        <v>3532</v>
      </c>
      <c r="B6" s="10"/>
      <c r="C6" s="11"/>
      <c r="D6" s="11"/>
      <c r="E6" s="11"/>
      <c r="F6" s="42">
        <f t="shared" si="5"/>
        <v>0</v>
      </c>
      <c r="G6" s="59" t="e">
        <f>COUNTIFS(#REF!,$A6,#REF!,"N/A (4e)",#REF!,"Practice Test")</f>
        <v>#REF!</v>
      </c>
      <c r="H6" s="12" t="e">
        <f>COUNTIFS(#REF!,$A6,#REF!,"N/A (4e)",#REF!,"Practice Test",#REF!,H$2)</f>
        <v>#REF!</v>
      </c>
      <c r="I6" s="13" t="e">
        <f>COUNTIFS(#REF!,$A6,#REF!,"N/A (4e)",#REF!,"Practice Test",#REF!,I$2)</f>
        <v>#REF!</v>
      </c>
      <c r="J6" s="14" t="e">
        <f>COUNTIFS(#REF!,$A6,#REF!,"N/A (4e)",#REF!,"Practice Test",#REF!,J$2)</f>
        <v>#REF!</v>
      </c>
      <c r="K6" s="46" t="e">
        <f>COUNTIFS(#REF!,$A6,#REF!,"N/A (4e)",#REF!,"Practice Test",#REF!,K$2)</f>
        <v>#REF!</v>
      </c>
      <c r="L6" s="51" t="e">
        <f t="shared" si="3"/>
        <v>#REF!</v>
      </c>
      <c r="M6" s="52" t="e">
        <f>COUNTIFS(#REF!,$A6,#REF!,"&lt;&gt;N/A (4e)",#REF!,"Knowledge Check")</f>
        <v>#REF!</v>
      </c>
      <c r="N6" s="69" t="e">
        <f>COUNTIFS(#REF!,$A6,#REF!,"Knowledge Check",#REF!,N$2)</f>
        <v>#REF!</v>
      </c>
      <c r="O6" s="13" t="e">
        <f>COUNTIFS(#REF!,$A6,#REF!,"Knowledge Check",#REF!,O$2)</f>
        <v>#REF!</v>
      </c>
      <c r="P6" s="14" t="e">
        <f>COUNTIFS(#REF!,$A6,#REF!,"Knowledge Check",#REF!,P$2)</f>
        <v>#REF!</v>
      </c>
      <c r="Q6" s="15" t="e">
        <f>COUNTIFS(#REF!,$A6,#REF!,"Knowledge Check",#REF!,Q$2)</f>
        <v>#REF!</v>
      </c>
      <c r="R6" s="60" t="e">
        <f t="shared" si="4"/>
        <v>#REF!</v>
      </c>
      <c r="S6" s="69"/>
      <c r="T6" s="13"/>
      <c r="U6" s="14"/>
      <c r="V6" s="15"/>
      <c r="W6" s="16"/>
      <c r="X6" s="34" t="e">
        <f t="shared" si="6"/>
        <v>#REF!</v>
      </c>
    </row>
    <row r="7" spans="1:24" x14ac:dyDescent="0.25">
      <c r="A7" s="76" t="s">
        <v>3533</v>
      </c>
      <c r="B7" s="10"/>
      <c r="C7" s="11"/>
      <c r="D7" s="11"/>
      <c r="E7" s="11"/>
      <c r="F7" s="42">
        <f t="shared" si="5"/>
        <v>0</v>
      </c>
      <c r="G7" s="59" t="e">
        <f>COUNTIFS(#REF!,$A7,#REF!,"N/A (4e)",#REF!,"Practice Test")</f>
        <v>#REF!</v>
      </c>
      <c r="H7" s="12" t="e">
        <f>COUNTIFS(#REF!,$A7,#REF!,"N/A (4e)",#REF!,"Practice Test",#REF!,H$2)</f>
        <v>#REF!</v>
      </c>
      <c r="I7" s="13" t="e">
        <f>COUNTIFS(#REF!,$A7,#REF!,"N/A (4e)",#REF!,"Practice Test",#REF!,I$2)</f>
        <v>#REF!</v>
      </c>
      <c r="J7" s="14" t="e">
        <f>COUNTIFS(#REF!,$A7,#REF!,"N/A (4e)",#REF!,"Practice Test",#REF!,J$2)</f>
        <v>#REF!</v>
      </c>
      <c r="K7" s="46" t="e">
        <f>COUNTIFS(#REF!,$A7,#REF!,"N/A (4e)",#REF!,"Practice Test",#REF!,K$2)</f>
        <v>#REF!</v>
      </c>
      <c r="L7" s="51" t="e">
        <f t="shared" si="3"/>
        <v>#REF!</v>
      </c>
      <c r="M7" s="52" t="e">
        <f>COUNTIFS(#REF!,$A7,#REF!,"&lt;&gt;N/A (4e)",#REF!,"Knowledge Check")</f>
        <v>#REF!</v>
      </c>
      <c r="N7" s="69" t="e">
        <f>COUNTIFS(#REF!,$A7,#REF!,"Knowledge Check",#REF!,N$2)</f>
        <v>#REF!</v>
      </c>
      <c r="O7" s="13" t="e">
        <f>COUNTIFS(#REF!,$A7,#REF!,"Knowledge Check",#REF!,O$2)</f>
        <v>#REF!</v>
      </c>
      <c r="P7" s="14" t="e">
        <f>COUNTIFS(#REF!,$A7,#REF!,"Knowledge Check",#REF!,P$2)</f>
        <v>#REF!</v>
      </c>
      <c r="Q7" s="15" t="e">
        <f>COUNTIFS(#REF!,$A7,#REF!,"Knowledge Check",#REF!,Q$2)</f>
        <v>#REF!</v>
      </c>
      <c r="R7" s="60" t="e">
        <f t="shared" si="4"/>
        <v>#REF!</v>
      </c>
      <c r="S7" s="69"/>
      <c r="T7" s="13"/>
      <c r="U7" s="14"/>
      <c r="V7" s="15"/>
      <c r="W7" s="16"/>
      <c r="X7" s="34" t="e">
        <f t="shared" si="6"/>
        <v>#REF!</v>
      </c>
    </row>
    <row r="8" spans="1:24" x14ac:dyDescent="0.25">
      <c r="A8" s="75" t="s">
        <v>3534</v>
      </c>
      <c r="B8" s="10"/>
      <c r="C8" s="11"/>
      <c r="D8" s="11"/>
      <c r="E8" s="11"/>
      <c r="F8" s="42">
        <f t="shared" si="5"/>
        <v>0</v>
      </c>
      <c r="G8" s="59" t="e">
        <f>COUNTIFS(#REF!,$A8,#REF!,"N/A (4e)",#REF!,"Practice Test")</f>
        <v>#REF!</v>
      </c>
      <c r="H8" s="12" t="e">
        <f>COUNTIFS(#REF!,$A8,#REF!,"N/A (4e)",#REF!,"Practice Test",#REF!,H$2)</f>
        <v>#REF!</v>
      </c>
      <c r="I8" s="13" t="e">
        <f>COUNTIFS(#REF!,$A8,#REF!,"N/A (4e)",#REF!,"Practice Test",#REF!,I$2)</f>
        <v>#REF!</v>
      </c>
      <c r="J8" s="14" t="e">
        <f>COUNTIFS(#REF!,$A8,#REF!,"N/A (4e)",#REF!,"Practice Test",#REF!,J$2)</f>
        <v>#REF!</v>
      </c>
      <c r="K8" s="46" t="e">
        <f>COUNTIFS(#REF!,$A8,#REF!,"N/A (4e)",#REF!,"Practice Test",#REF!,K$2)</f>
        <v>#REF!</v>
      </c>
      <c r="L8" s="51" t="e">
        <f t="shared" si="3"/>
        <v>#REF!</v>
      </c>
      <c r="M8" s="52" t="e">
        <f>COUNTIFS(#REF!,$A8,#REF!,"&lt;&gt;N/A (4e)",#REF!,"Knowledge Check")</f>
        <v>#REF!</v>
      </c>
      <c r="N8" s="69" t="e">
        <f>COUNTIFS(#REF!,$A8,#REF!,"Knowledge Check",#REF!,N$2)</f>
        <v>#REF!</v>
      </c>
      <c r="O8" s="13" t="e">
        <f>COUNTIFS(#REF!,$A8,#REF!,"Knowledge Check",#REF!,O$2)</f>
        <v>#REF!</v>
      </c>
      <c r="P8" s="14" t="e">
        <f>COUNTIFS(#REF!,$A8,#REF!,"Knowledge Check",#REF!,P$2)</f>
        <v>#REF!</v>
      </c>
      <c r="Q8" s="15" t="e">
        <f>COUNTIFS(#REF!,$A8,#REF!,"Knowledge Check",#REF!,Q$2)</f>
        <v>#REF!</v>
      </c>
      <c r="R8" s="60" t="e">
        <f t="shared" si="4"/>
        <v>#REF!</v>
      </c>
      <c r="S8" s="69"/>
      <c r="T8" s="13"/>
      <c r="U8" s="14"/>
      <c r="V8" s="15"/>
      <c r="W8" s="16"/>
      <c r="X8" s="34" t="e">
        <f t="shared" si="6"/>
        <v>#REF!</v>
      </c>
    </row>
    <row r="9" spans="1:24" x14ac:dyDescent="0.25">
      <c r="A9" s="74" t="s">
        <v>3535</v>
      </c>
      <c r="B9" s="10"/>
      <c r="C9" s="11"/>
      <c r="D9" s="11"/>
      <c r="E9" s="11"/>
      <c r="F9" s="42">
        <f t="shared" si="5"/>
        <v>0</v>
      </c>
      <c r="G9" s="59" t="e">
        <f>COUNTIFS(#REF!,$A9,#REF!,"N/A (4e)",#REF!,"Practice Test")</f>
        <v>#REF!</v>
      </c>
      <c r="H9" s="12" t="e">
        <f>COUNTIFS(#REF!,$A9,#REF!,"N/A (4e)",#REF!,"Practice Test",#REF!,H$2)</f>
        <v>#REF!</v>
      </c>
      <c r="I9" s="13" t="e">
        <f>COUNTIFS(#REF!,$A9,#REF!,"N/A (4e)",#REF!,"Practice Test",#REF!,I$2)</f>
        <v>#REF!</v>
      </c>
      <c r="J9" s="14" t="e">
        <f>COUNTIFS(#REF!,$A9,#REF!,"N/A (4e)",#REF!,"Practice Test",#REF!,J$2)</f>
        <v>#REF!</v>
      </c>
      <c r="K9" s="46" t="e">
        <f>COUNTIFS(#REF!,$A9,#REF!,"N/A (4e)",#REF!,"Practice Test",#REF!,K$2)</f>
        <v>#REF!</v>
      </c>
      <c r="L9" s="51" t="e">
        <f t="shared" si="3"/>
        <v>#REF!</v>
      </c>
      <c r="M9" s="52" t="e">
        <f>COUNTIFS(#REF!,$A9,#REF!,"&lt;&gt;N/A (4e)",#REF!,"Knowledge Check")</f>
        <v>#REF!</v>
      </c>
      <c r="N9" s="69" t="e">
        <f>COUNTIFS(#REF!,$A9,#REF!,"Knowledge Check",#REF!,N$2)</f>
        <v>#REF!</v>
      </c>
      <c r="O9" s="13" t="e">
        <f>COUNTIFS(#REF!,$A9,#REF!,"Knowledge Check",#REF!,O$2)</f>
        <v>#REF!</v>
      </c>
      <c r="P9" s="14" t="e">
        <f>COUNTIFS(#REF!,$A9,#REF!,"Knowledge Check",#REF!,P$2)</f>
        <v>#REF!</v>
      </c>
      <c r="Q9" s="15" t="e">
        <f>COUNTIFS(#REF!,$A9,#REF!,"Knowledge Check",#REF!,Q$2)</f>
        <v>#REF!</v>
      </c>
      <c r="R9" s="60" t="e">
        <f t="shared" si="4"/>
        <v>#REF!</v>
      </c>
      <c r="S9" s="69"/>
      <c r="T9" s="13"/>
      <c r="U9" s="14"/>
      <c r="V9" s="15"/>
      <c r="W9" s="16"/>
      <c r="X9" s="34" t="e">
        <f t="shared" si="6"/>
        <v>#REF!</v>
      </c>
    </row>
    <row r="10" spans="1:24" x14ac:dyDescent="0.25">
      <c r="A10" s="76" t="s">
        <v>3536</v>
      </c>
      <c r="B10" s="10"/>
      <c r="C10" s="11"/>
      <c r="D10" s="11"/>
      <c r="E10" s="11"/>
      <c r="F10" s="42">
        <f t="shared" si="5"/>
        <v>0</v>
      </c>
      <c r="G10" s="59" t="e">
        <f>COUNTIFS(#REF!,$A10,#REF!,"N/A (4e)",#REF!,"Practice Test")</f>
        <v>#REF!</v>
      </c>
      <c r="H10" s="12" t="e">
        <f>COUNTIFS(#REF!,$A10,#REF!,"N/A (4e)",#REF!,"Practice Test",#REF!,H$2)</f>
        <v>#REF!</v>
      </c>
      <c r="I10" s="13" t="e">
        <f>COUNTIFS(#REF!,$A10,#REF!,"N/A (4e)",#REF!,"Practice Test",#REF!,I$2)</f>
        <v>#REF!</v>
      </c>
      <c r="J10" s="14" t="e">
        <f>COUNTIFS(#REF!,$A10,#REF!,"N/A (4e)",#REF!,"Practice Test",#REF!,J$2)</f>
        <v>#REF!</v>
      </c>
      <c r="K10" s="46" t="e">
        <f>COUNTIFS(#REF!,$A10,#REF!,"N/A (4e)",#REF!,"Practice Test",#REF!,K$2)</f>
        <v>#REF!</v>
      </c>
      <c r="L10" s="51" t="e">
        <f t="shared" si="3"/>
        <v>#REF!</v>
      </c>
      <c r="M10" s="52" t="e">
        <f>COUNTIFS(#REF!,$A10,#REF!,"&lt;&gt;N/A (4e)",#REF!,"Knowledge Check")</f>
        <v>#REF!</v>
      </c>
      <c r="N10" s="69" t="e">
        <f>COUNTIFS(#REF!,$A10,#REF!,"Knowledge Check",#REF!,N$2)</f>
        <v>#REF!</v>
      </c>
      <c r="O10" s="13" t="e">
        <f>COUNTIFS(#REF!,$A10,#REF!,"Knowledge Check",#REF!,O$2)</f>
        <v>#REF!</v>
      </c>
      <c r="P10" s="14" t="e">
        <f>COUNTIFS(#REF!,$A10,#REF!,"Knowledge Check",#REF!,P$2)</f>
        <v>#REF!</v>
      </c>
      <c r="Q10" s="15" t="e">
        <f>COUNTIFS(#REF!,$A10,#REF!,"Knowledge Check",#REF!,Q$2)</f>
        <v>#REF!</v>
      </c>
      <c r="R10" s="60" t="e">
        <f t="shared" si="4"/>
        <v>#REF!</v>
      </c>
      <c r="S10" s="69"/>
      <c r="T10" s="13"/>
      <c r="U10" s="14"/>
      <c r="V10" s="15"/>
      <c r="W10" s="16"/>
      <c r="X10" s="34" t="e">
        <f t="shared" si="6"/>
        <v>#REF!</v>
      </c>
    </row>
    <row r="11" spans="1:24" x14ac:dyDescent="0.25">
      <c r="A11" s="76" t="s">
        <v>3537</v>
      </c>
      <c r="B11" s="10"/>
      <c r="C11" s="11"/>
      <c r="D11" s="11"/>
      <c r="E11" s="11"/>
      <c r="F11" s="42">
        <f t="shared" si="5"/>
        <v>0</v>
      </c>
      <c r="G11" s="59" t="e">
        <f>COUNTIFS(#REF!,$A11,#REF!,"N/A (4e)",#REF!,"Practice Test")</f>
        <v>#REF!</v>
      </c>
      <c r="H11" s="12" t="e">
        <f>COUNTIFS(#REF!,$A11,#REF!,"N/A (4e)",#REF!,"Practice Test",#REF!,H$2)</f>
        <v>#REF!</v>
      </c>
      <c r="I11" s="13" t="e">
        <f>COUNTIFS(#REF!,$A11,#REF!,"N/A (4e)",#REF!,"Practice Test",#REF!,I$2)</f>
        <v>#REF!</v>
      </c>
      <c r="J11" s="14" t="e">
        <f>COUNTIFS(#REF!,$A11,#REF!,"N/A (4e)",#REF!,"Practice Test",#REF!,J$2)</f>
        <v>#REF!</v>
      </c>
      <c r="K11" s="46" t="e">
        <f>COUNTIFS(#REF!,$A11,#REF!,"N/A (4e)",#REF!,"Practice Test",#REF!,K$2)</f>
        <v>#REF!</v>
      </c>
      <c r="L11" s="51" t="e">
        <f t="shared" si="3"/>
        <v>#REF!</v>
      </c>
      <c r="M11" s="52" t="e">
        <f>COUNTIFS(#REF!,$A11,#REF!,"&lt;&gt;N/A (4e)",#REF!,"Knowledge Check")</f>
        <v>#REF!</v>
      </c>
      <c r="N11" s="69" t="e">
        <f>COUNTIFS(#REF!,$A11,#REF!,"Knowledge Check",#REF!,N$2)</f>
        <v>#REF!</v>
      </c>
      <c r="O11" s="13" t="e">
        <f>COUNTIFS(#REF!,$A11,#REF!,"Knowledge Check",#REF!,O$2)</f>
        <v>#REF!</v>
      </c>
      <c r="P11" s="14" t="e">
        <f>COUNTIFS(#REF!,$A11,#REF!,"Knowledge Check",#REF!,P$2)</f>
        <v>#REF!</v>
      </c>
      <c r="Q11" s="15" t="e">
        <f>COUNTIFS(#REF!,$A11,#REF!,"Knowledge Check",#REF!,Q$2)</f>
        <v>#REF!</v>
      </c>
      <c r="R11" s="60" t="e">
        <f t="shared" si="4"/>
        <v>#REF!</v>
      </c>
      <c r="S11" s="69"/>
      <c r="T11" s="13"/>
      <c r="U11" s="14"/>
      <c r="V11" s="15"/>
      <c r="W11" s="16"/>
      <c r="X11" s="34" t="e">
        <f t="shared" si="6"/>
        <v>#REF!</v>
      </c>
    </row>
    <row r="12" spans="1:24" x14ac:dyDescent="0.25">
      <c r="A12" s="74" t="s">
        <v>1581</v>
      </c>
      <c r="B12" s="10"/>
      <c r="C12" s="11"/>
      <c r="D12" s="11"/>
      <c r="E12" s="11"/>
      <c r="F12" s="42">
        <f t="shared" si="5"/>
        <v>0</v>
      </c>
      <c r="G12" s="59" t="e">
        <f>COUNTIFS(#REF!,$A12,#REF!,"N/A (4e)",#REF!,"Practice Test")</f>
        <v>#REF!</v>
      </c>
      <c r="H12" s="12" t="e">
        <f>COUNTIFS(#REF!,$A12,#REF!,"N/A (4e)",#REF!,"Practice Test",#REF!,H$2)</f>
        <v>#REF!</v>
      </c>
      <c r="I12" s="13" t="e">
        <f>COUNTIFS(#REF!,$A12,#REF!,"N/A (4e)",#REF!,"Practice Test",#REF!,I$2)</f>
        <v>#REF!</v>
      </c>
      <c r="J12" s="14" t="e">
        <f>COUNTIFS(#REF!,$A12,#REF!,"N/A (4e)",#REF!,"Practice Test",#REF!,J$2)</f>
        <v>#REF!</v>
      </c>
      <c r="K12" s="46" t="e">
        <f>COUNTIFS(#REF!,$A12,#REF!,"N/A (4e)",#REF!,"Practice Test",#REF!,K$2)</f>
        <v>#REF!</v>
      </c>
      <c r="L12" s="51" t="e">
        <f t="shared" si="3"/>
        <v>#REF!</v>
      </c>
      <c r="M12" s="52" t="e">
        <f>COUNTIFS(#REF!,$A12,#REF!,"&lt;&gt;N/A (4e)",#REF!,"Knowledge Check")</f>
        <v>#REF!</v>
      </c>
      <c r="N12" s="69" t="e">
        <f>COUNTIFS(#REF!,$A12,#REF!,"Knowledge Check",#REF!,N$2)</f>
        <v>#REF!</v>
      </c>
      <c r="O12" s="13" t="e">
        <f>COUNTIFS(#REF!,$A12,#REF!,"Knowledge Check",#REF!,O$2)</f>
        <v>#REF!</v>
      </c>
      <c r="P12" s="14" t="e">
        <f>COUNTIFS(#REF!,$A12,#REF!,"Knowledge Check",#REF!,P$2)</f>
        <v>#REF!</v>
      </c>
      <c r="Q12" s="15" t="e">
        <f>COUNTIFS(#REF!,$A12,#REF!,"Knowledge Check",#REF!,Q$2)</f>
        <v>#REF!</v>
      </c>
      <c r="R12" s="60" t="e">
        <f t="shared" si="4"/>
        <v>#REF!</v>
      </c>
      <c r="S12" s="69"/>
      <c r="T12" s="13"/>
      <c r="U12" s="14"/>
      <c r="V12" s="15"/>
      <c r="W12" s="16"/>
      <c r="X12" s="34" t="e">
        <f t="shared" si="6"/>
        <v>#REF!</v>
      </c>
    </row>
    <row r="13" spans="1:24" x14ac:dyDescent="0.25">
      <c r="A13" s="75" t="s">
        <v>3538</v>
      </c>
      <c r="B13" s="10"/>
      <c r="C13" s="11"/>
      <c r="D13" s="11"/>
      <c r="E13" s="11"/>
      <c r="F13" s="42">
        <f t="shared" si="5"/>
        <v>0</v>
      </c>
      <c r="G13" s="59" t="e">
        <f>COUNTIFS(#REF!,$A13,#REF!,"N/A (4e)",#REF!,"Practice Test")</f>
        <v>#REF!</v>
      </c>
      <c r="H13" s="12" t="e">
        <f>COUNTIFS(#REF!,$A13,#REF!,"N/A (4e)",#REF!,"Practice Test",#REF!,H$2)</f>
        <v>#REF!</v>
      </c>
      <c r="I13" s="13" t="e">
        <f>COUNTIFS(#REF!,$A13,#REF!,"N/A (4e)",#REF!,"Practice Test",#REF!,I$2)</f>
        <v>#REF!</v>
      </c>
      <c r="J13" s="14" t="e">
        <f>COUNTIFS(#REF!,$A13,#REF!,"N/A (4e)",#REF!,"Practice Test",#REF!,J$2)</f>
        <v>#REF!</v>
      </c>
      <c r="K13" s="46" t="e">
        <f>COUNTIFS(#REF!,$A13,#REF!,"N/A (4e)",#REF!,"Practice Test",#REF!,K$2)</f>
        <v>#REF!</v>
      </c>
      <c r="L13" s="51" t="e">
        <f t="shared" si="3"/>
        <v>#REF!</v>
      </c>
      <c r="M13" s="52" t="e">
        <f>COUNTIFS(#REF!,$A13,#REF!,"&lt;&gt;N/A (4e)",#REF!,"Knowledge Check")</f>
        <v>#REF!</v>
      </c>
      <c r="N13" s="69" t="e">
        <f>COUNTIFS(#REF!,$A13,#REF!,"Knowledge Check",#REF!,N$2)</f>
        <v>#REF!</v>
      </c>
      <c r="O13" s="13" t="e">
        <f>COUNTIFS(#REF!,$A13,#REF!,"Knowledge Check",#REF!,O$2)</f>
        <v>#REF!</v>
      </c>
      <c r="P13" s="14" t="e">
        <f>COUNTIFS(#REF!,$A13,#REF!,"Knowledge Check",#REF!,P$2)</f>
        <v>#REF!</v>
      </c>
      <c r="Q13" s="15" t="e">
        <f>COUNTIFS(#REF!,$A13,#REF!,"Knowledge Check",#REF!,Q$2)</f>
        <v>#REF!</v>
      </c>
      <c r="R13" s="60" t="e">
        <f t="shared" si="4"/>
        <v>#REF!</v>
      </c>
      <c r="S13" s="69"/>
      <c r="T13" s="13"/>
      <c r="U13" s="14"/>
      <c r="V13" s="15"/>
      <c r="W13" s="16"/>
      <c r="X13" s="34" t="e">
        <f t="shared" si="6"/>
        <v>#REF!</v>
      </c>
    </row>
    <row r="14" spans="1:24" x14ac:dyDescent="0.25">
      <c r="A14" s="74" t="s">
        <v>3539</v>
      </c>
      <c r="B14" s="10"/>
      <c r="C14" s="11"/>
      <c r="D14" s="11"/>
      <c r="E14" s="11"/>
      <c r="F14" s="42">
        <f t="shared" si="5"/>
        <v>0</v>
      </c>
      <c r="G14" s="59" t="e">
        <f>COUNTIFS(#REF!,$A14,#REF!,"N/A (4e)",#REF!,"Practice Test")</f>
        <v>#REF!</v>
      </c>
      <c r="H14" s="12" t="e">
        <f>COUNTIFS(#REF!,$A14,#REF!,"N/A (4e)",#REF!,"Practice Test",#REF!,H$2)</f>
        <v>#REF!</v>
      </c>
      <c r="I14" s="13" t="e">
        <f>COUNTIFS(#REF!,$A14,#REF!,"N/A (4e)",#REF!,"Practice Test",#REF!,I$2)</f>
        <v>#REF!</v>
      </c>
      <c r="J14" s="14" t="e">
        <f>COUNTIFS(#REF!,$A14,#REF!,"N/A (4e)",#REF!,"Practice Test",#REF!,J$2)</f>
        <v>#REF!</v>
      </c>
      <c r="K14" s="46" t="e">
        <f>COUNTIFS(#REF!,$A14,#REF!,"N/A (4e)",#REF!,"Practice Test",#REF!,K$2)</f>
        <v>#REF!</v>
      </c>
      <c r="L14" s="51" t="e">
        <f t="shared" si="3"/>
        <v>#REF!</v>
      </c>
      <c r="M14" s="52" t="e">
        <f>COUNTIFS(#REF!,$A14,#REF!,"&lt;&gt;N/A (4e)",#REF!,"Knowledge Check")</f>
        <v>#REF!</v>
      </c>
      <c r="N14" s="69" t="e">
        <f>COUNTIFS(#REF!,$A14,#REF!,"Knowledge Check",#REF!,N$2)</f>
        <v>#REF!</v>
      </c>
      <c r="O14" s="13" t="e">
        <f>COUNTIFS(#REF!,$A14,#REF!,"Knowledge Check",#REF!,O$2)</f>
        <v>#REF!</v>
      </c>
      <c r="P14" s="14" t="e">
        <f>COUNTIFS(#REF!,$A14,#REF!,"Knowledge Check",#REF!,P$2)</f>
        <v>#REF!</v>
      </c>
      <c r="Q14" s="15" t="e">
        <f>COUNTIFS(#REF!,$A14,#REF!,"Knowledge Check",#REF!,Q$2)</f>
        <v>#REF!</v>
      </c>
      <c r="R14" s="60" t="e">
        <f t="shared" si="4"/>
        <v>#REF!</v>
      </c>
      <c r="S14" s="69"/>
      <c r="T14" s="13"/>
      <c r="U14" s="14"/>
      <c r="V14" s="15"/>
      <c r="W14" s="16"/>
      <c r="X14" s="34" t="e">
        <f t="shared" si="6"/>
        <v>#REF!</v>
      </c>
    </row>
    <row r="15" spans="1:24" x14ac:dyDescent="0.25">
      <c r="A15" s="74" t="s">
        <v>3540</v>
      </c>
      <c r="B15" s="10"/>
      <c r="C15" s="11"/>
      <c r="D15" s="11"/>
      <c r="E15" s="11"/>
      <c r="F15" s="42">
        <f t="shared" si="5"/>
        <v>0</v>
      </c>
      <c r="G15" s="59" t="e">
        <f>COUNTIFS(#REF!,$A15,#REF!,"N/A (4e)",#REF!,"Practice Test")</f>
        <v>#REF!</v>
      </c>
      <c r="H15" s="12" t="e">
        <f>COUNTIFS(#REF!,$A15,#REF!,"N/A (4e)",#REF!,"Practice Test",#REF!,H$2)</f>
        <v>#REF!</v>
      </c>
      <c r="I15" s="13" t="e">
        <f>COUNTIFS(#REF!,$A15,#REF!,"N/A (4e)",#REF!,"Practice Test",#REF!,I$2)</f>
        <v>#REF!</v>
      </c>
      <c r="J15" s="14" t="e">
        <f>COUNTIFS(#REF!,$A15,#REF!,"N/A (4e)",#REF!,"Practice Test",#REF!,J$2)</f>
        <v>#REF!</v>
      </c>
      <c r="K15" s="46" t="e">
        <f>COUNTIFS(#REF!,$A15,#REF!,"N/A (4e)",#REF!,"Practice Test",#REF!,K$2)</f>
        <v>#REF!</v>
      </c>
      <c r="L15" s="51" t="e">
        <f t="shared" si="3"/>
        <v>#REF!</v>
      </c>
      <c r="M15" s="52" t="e">
        <f>COUNTIFS(#REF!,$A15,#REF!,"&lt;&gt;N/A (4e)",#REF!,"Knowledge Check")</f>
        <v>#REF!</v>
      </c>
      <c r="N15" s="69" t="e">
        <f>COUNTIFS(#REF!,$A15,#REF!,"Knowledge Check",#REF!,N$2)</f>
        <v>#REF!</v>
      </c>
      <c r="O15" s="13" t="e">
        <f>COUNTIFS(#REF!,$A15,#REF!,"Knowledge Check",#REF!,O$2)</f>
        <v>#REF!</v>
      </c>
      <c r="P15" s="14" t="e">
        <f>COUNTIFS(#REF!,$A15,#REF!,"Knowledge Check",#REF!,P$2)</f>
        <v>#REF!</v>
      </c>
      <c r="Q15" s="15" t="e">
        <f>COUNTIFS(#REF!,$A15,#REF!,"Knowledge Check",#REF!,Q$2)</f>
        <v>#REF!</v>
      </c>
      <c r="R15" s="60" t="e">
        <f t="shared" si="4"/>
        <v>#REF!</v>
      </c>
      <c r="S15" s="69"/>
      <c r="T15" s="13"/>
      <c r="U15" s="14"/>
      <c r="V15" s="15"/>
      <c r="W15" s="16"/>
      <c r="X15" s="34" t="e">
        <f t="shared" si="6"/>
        <v>#REF!</v>
      </c>
    </row>
    <row r="16" spans="1:24" x14ac:dyDescent="0.25">
      <c r="A16" s="74" t="s">
        <v>3541</v>
      </c>
      <c r="B16" s="10"/>
      <c r="C16" s="11"/>
      <c r="D16" s="11"/>
      <c r="E16" s="11"/>
      <c r="F16" s="42">
        <f t="shared" si="5"/>
        <v>0</v>
      </c>
      <c r="G16" s="59" t="e">
        <f>COUNTIFS(#REF!,$A16,#REF!,"N/A (4e)",#REF!,"Practice Test")</f>
        <v>#REF!</v>
      </c>
      <c r="H16" s="12" t="e">
        <f>COUNTIFS(#REF!,$A16,#REF!,"N/A (4e)",#REF!,"Practice Test",#REF!,H$2)</f>
        <v>#REF!</v>
      </c>
      <c r="I16" s="13" t="e">
        <f>COUNTIFS(#REF!,$A16,#REF!,"N/A (4e)",#REF!,"Practice Test",#REF!,I$2)</f>
        <v>#REF!</v>
      </c>
      <c r="J16" s="14" t="e">
        <f>COUNTIFS(#REF!,$A16,#REF!,"N/A (4e)",#REF!,"Practice Test",#REF!,J$2)</f>
        <v>#REF!</v>
      </c>
      <c r="K16" s="46" t="e">
        <f>COUNTIFS(#REF!,$A16,#REF!,"N/A (4e)",#REF!,"Practice Test",#REF!,K$2)</f>
        <v>#REF!</v>
      </c>
      <c r="L16" s="51" t="e">
        <f t="shared" si="3"/>
        <v>#REF!</v>
      </c>
      <c r="M16" s="52" t="e">
        <f>COUNTIFS(#REF!,$A16,#REF!,"&lt;&gt;N/A (4e)",#REF!,"Knowledge Check")</f>
        <v>#REF!</v>
      </c>
      <c r="N16" s="69" t="e">
        <f>COUNTIFS(#REF!,$A16,#REF!,"Knowledge Check",#REF!,N$2)</f>
        <v>#REF!</v>
      </c>
      <c r="O16" s="13" t="e">
        <f>COUNTIFS(#REF!,$A16,#REF!,"Knowledge Check",#REF!,O$2)</f>
        <v>#REF!</v>
      </c>
      <c r="P16" s="14" t="e">
        <f>COUNTIFS(#REF!,$A16,#REF!,"Knowledge Check",#REF!,P$2)</f>
        <v>#REF!</v>
      </c>
      <c r="Q16" s="15" t="e">
        <f>COUNTIFS(#REF!,$A16,#REF!,"Knowledge Check",#REF!,Q$2)</f>
        <v>#REF!</v>
      </c>
      <c r="R16" s="60" t="e">
        <f t="shared" si="4"/>
        <v>#REF!</v>
      </c>
      <c r="S16" s="69"/>
      <c r="T16" s="13"/>
      <c r="U16" s="14"/>
      <c r="V16" s="15"/>
      <c r="W16" s="16"/>
      <c r="X16" s="34" t="e">
        <f t="shared" si="6"/>
        <v>#REF!</v>
      </c>
    </row>
    <row r="17" spans="1:24" x14ac:dyDescent="0.25">
      <c r="A17" s="74" t="s">
        <v>3542</v>
      </c>
      <c r="B17" s="10"/>
      <c r="C17" s="11"/>
      <c r="D17" s="11"/>
      <c r="E17" s="11"/>
      <c r="F17" s="42">
        <f t="shared" si="5"/>
        <v>0</v>
      </c>
      <c r="G17" s="59" t="e">
        <f>COUNTIFS(#REF!,$A17,#REF!,"N/A (4e)",#REF!,"Practice Test")</f>
        <v>#REF!</v>
      </c>
      <c r="H17" s="12" t="e">
        <f>COUNTIFS(#REF!,$A17,#REF!,"N/A (4e)",#REF!,"Practice Test",#REF!,H$2)</f>
        <v>#REF!</v>
      </c>
      <c r="I17" s="13" t="e">
        <f>COUNTIFS(#REF!,$A17,#REF!,"N/A (4e)",#REF!,"Practice Test",#REF!,I$2)</f>
        <v>#REF!</v>
      </c>
      <c r="J17" s="14" t="e">
        <f>COUNTIFS(#REF!,$A17,#REF!,"N/A (4e)",#REF!,"Practice Test",#REF!,J$2)</f>
        <v>#REF!</v>
      </c>
      <c r="K17" s="46" t="e">
        <f>COUNTIFS(#REF!,$A17,#REF!,"N/A (4e)",#REF!,"Practice Test",#REF!,K$2)</f>
        <v>#REF!</v>
      </c>
      <c r="L17" s="51" t="e">
        <f t="shared" si="3"/>
        <v>#REF!</v>
      </c>
      <c r="M17" s="52" t="e">
        <f>COUNTIFS(#REF!,$A17,#REF!,"&lt;&gt;N/A (4e)",#REF!,"Knowledge Check")</f>
        <v>#REF!</v>
      </c>
      <c r="N17" s="69" t="e">
        <f>COUNTIFS(#REF!,$A17,#REF!,"Knowledge Check",#REF!,N$2)</f>
        <v>#REF!</v>
      </c>
      <c r="O17" s="13" t="e">
        <f>COUNTIFS(#REF!,$A17,#REF!,"Knowledge Check",#REF!,O$2)</f>
        <v>#REF!</v>
      </c>
      <c r="P17" s="14" t="e">
        <f>COUNTIFS(#REF!,$A17,#REF!,"Knowledge Check",#REF!,P$2)</f>
        <v>#REF!</v>
      </c>
      <c r="Q17" s="15" t="e">
        <f>COUNTIFS(#REF!,$A17,#REF!,"Knowledge Check",#REF!,Q$2)</f>
        <v>#REF!</v>
      </c>
      <c r="R17" s="60" t="e">
        <f t="shared" si="4"/>
        <v>#REF!</v>
      </c>
      <c r="S17" s="69"/>
      <c r="T17" s="13"/>
      <c r="U17" s="14"/>
      <c r="V17" s="15"/>
      <c r="W17" s="16"/>
      <c r="X17" s="34" t="e">
        <f t="shared" si="6"/>
        <v>#REF!</v>
      </c>
    </row>
    <row r="18" spans="1:24" ht="15.75" thickBot="1" x14ac:dyDescent="0.3">
      <c r="A18" s="76" t="s">
        <v>1624</v>
      </c>
      <c r="B18" s="10"/>
      <c r="C18" s="11"/>
      <c r="D18" s="11"/>
      <c r="E18" s="11"/>
      <c r="F18" s="42">
        <f t="shared" si="5"/>
        <v>0</v>
      </c>
      <c r="G18" s="61" t="e">
        <f>COUNTIFS(#REF!,$A18,#REF!,"N/A (4e)",#REF!,"Practice Test")</f>
        <v>#REF!</v>
      </c>
      <c r="H18" s="62" t="e">
        <f>COUNTIFS(#REF!,$A18,#REF!,"N/A (4e)",#REF!,"Practice Test",#REF!,H$2)</f>
        <v>#REF!</v>
      </c>
      <c r="I18" s="63" t="e">
        <f>COUNTIFS(#REF!,$A18,#REF!,"N/A (4e)",#REF!,"Practice Test",#REF!,I$2)</f>
        <v>#REF!</v>
      </c>
      <c r="J18" s="64" t="e">
        <f>COUNTIFS(#REF!,$A18,#REF!,"N/A (4e)",#REF!,"Practice Test",#REF!,J$2)</f>
        <v>#REF!</v>
      </c>
      <c r="K18" s="70" t="e">
        <f>COUNTIFS(#REF!,$A18,#REF!,"N/A (4e)",#REF!,"Practice Test",#REF!,K$2)</f>
        <v>#REF!</v>
      </c>
      <c r="L18" s="72" t="e">
        <f t="shared" si="3"/>
        <v>#REF!</v>
      </c>
      <c r="M18" s="73" t="e">
        <f>COUNTIFS(#REF!,$A18,#REF!,"&lt;&gt;N/A (4e)",#REF!,"Knowledge Check")</f>
        <v>#REF!</v>
      </c>
      <c r="N18" s="71" t="e">
        <f>COUNTIFS(#REF!,$A18,#REF!,"Knowledge Check",#REF!,N$2)</f>
        <v>#REF!</v>
      </c>
      <c r="O18" s="63" t="e">
        <f>COUNTIFS(#REF!,$A18,#REF!,"Knowledge Check",#REF!,O$2)</f>
        <v>#REF!</v>
      </c>
      <c r="P18" s="64" t="e">
        <f>COUNTIFS(#REF!,$A18,#REF!,"Knowledge Check",#REF!,P$2)</f>
        <v>#REF!</v>
      </c>
      <c r="Q18" s="65" t="e">
        <f>COUNTIFS(#REF!,$A18,#REF!,"Knowledge Check",#REF!,Q$2)</f>
        <v>#REF!</v>
      </c>
      <c r="R18" s="66" t="e">
        <f t="shared" si="4"/>
        <v>#REF!</v>
      </c>
      <c r="S18" s="69"/>
      <c r="T18" s="13"/>
      <c r="U18" s="14"/>
      <c r="V18" s="15"/>
      <c r="W18" s="16"/>
      <c r="X18" s="34" t="e">
        <f t="shared" si="6"/>
        <v>#REF!</v>
      </c>
    </row>
  </sheetData>
  <mergeCells count="2">
    <mergeCell ref="M1:R1"/>
    <mergeCell ref="G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A100"/>
  <sheetViews>
    <sheetView zoomScale="70" zoomScaleNormal="70" workbookViewId="0">
      <pane xSplit="3" ySplit="4" topLeftCell="D5" activePane="bottomRight" state="frozen"/>
      <selection pane="topRight" activeCell="E1" sqref="E1"/>
      <selection pane="bottomLeft" activeCell="A5" sqref="A5"/>
      <selection pane="bottomRight" activeCell="B98" sqref="B1:L98"/>
    </sheetView>
  </sheetViews>
  <sheetFormatPr defaultRowHeight="15" x14ac:dyDescent="0.25"/>
  <cols>
    <col min="1" max="1" width="19.140625" bestFit="1" customWidth="1"/>
    <col min="2" max="2" width="61.28515625" customWidth="1"/>
    <col min="3" max="3" width="86.5703125" customWidth="1"/>
    <col min="4" max="4" width="3" customWidth="1"/>
    <col min="5" max="5" width="12.7109375" customWidth="1"/>
    <col min="6" max="7" width="14.7109375" customWidth="1"/>
    <col min="8" max="8" width="12.7109375" customWidth="1"/>
    <col min="9" max="9" width="4.85546875" customWidth="1"/>
    <col min="10" max="10" width="14" customWidth="1"/>
    <col min="11" max="12" width="9.140625" style="83"/>
    <col min="13" max="17" width="10.140625" style="83" customWidth="1"/>
    <col min="18" max="18" width="2.140625" style="83" customWidth="1"/>
    <col min="19" max="27" width="10.140625" style="83" customWidth="1"/>
    <col min="28" max="28" width="1.7109375" style="83" customWidth="1"/>
    <col min="29" max="37" width="10.140625" style="83" customWidth="1"/>
    <col min="38" max="38" width="2.42578125" style="83" customWidth="1"/>
    <col min="39" max="52" width="10.140625" style="83" customWidth="1"/>
    <col min="53" max="53" width="2.140625" style="83" customWidth="1"/>
    <col min="54" max="62" width="10.140625" style="83" customWidth="1"/>
    <col min="63" max="63" width="1.7109375" style="83" customWidth="1"/>
    <col min="64" max="72" width="10.140625" style="83" customWidth="1"/>
    <col min="73" max="73" width="1.7109375" style="83" customWidth="1"/>
    <col min="74" max="77" width="10.140625" style="83" customWidth="1"/>
    <col min="78" max="79" width="9.140625" style="83"/>
  </cols>
  <sheetData>
    <row r="1" spans="2:79" ht="30.75" x14ac:dyDescent="0.3">
      <c r="E1" s="107" t="s">
        <v>3525</v>
      </c>
      <c r="F1" s="107"/>
      <c r="G1" s="107"/>
      <c r="H1" s="107"/>
      <c r="J1" s="35" t="s">
        <v>3555</v>
      </c>
      <c r="K1" s="108" t="s">
        <v>3422</v>
      </c>
      <c r="L1" s="111"/>
      <c r="M1" s="108" t="s">
        <v>3556</v>
      </c>
      <c r="N1" s="109"/>
      <c r="O1" s="109"/>
      <c r="P1" s="109"/>
      <c r="Q1" s="109"/>
      <c r="R1" s="109"/>
      <c r="S1" s="109"/>
      <c r="T1" s="109"/>
      <c r="U1" s="109"/>
      <c r="V1" s="110"/>
      <c r="W1" s="113" t="s">
        <v>3557</v>
      </c>
      <c r="X1" s="113"/>
      <c r="Y1" s="113"/>
      <c r="Z1" s="113"/>
      <c r="AA1" s="113"/>
      <c r="AB1" s="109"/>
      <c r="AC1" s="109"/>
      <c r="AD1" s="109"/>
      <c r="AE1" s="109"/>
      <c r="AF1" s="110"/>
      <c r="AG1" s="108" t="s">
        <v>3558</v>
      </c>
      <c r="AH1" s="113"/>
      <c r="AI1" s="113"/>
      <c r="AJ1" s="113"/>
      <c r="AK1" s="113"/>
      <c r="AL1" s="109"/>
      <c r="AM1" s="109"/>
      <c r="AN1" s="109"/>
      <c r="AO1" s="109"/>
      <c r="AP1" s="110"/>
      <c r="AQ1" s="108" t="s">
        <v>3559</v>
      </c>
      <c r="AR1" s="113"/>
      <c r="AS1" s="113"/>
      <c r="AT1" s="113"/>
      <c r="AU1" s="111"/>
      <c r="AV1" s="108" t="s">
        <v>3560</v>
      </c>
      <c r="AW1" s="109"/>
      <c r="AX1" s="109"/>
      <c r="AY1" s="109"/>
      <c r="AZ1" s="109"/>
      <c r="BA1" s="109"/>
      <c r="BB1" s="109"/>
      <c r="BC1" s="109"/>
      <c r="BD1" s="109"/>
      <c r="BE1" s="110"/>
      <c r="BF1" s="108" t="s">
        <v>3561</v>
      </c>
      <c r="BG1" s="113"/>
      <c r="BH1" s="113"/>
      <c r="BI1" s="113"/>
      <c r="BJ1" s="113"/>
      <c r="BK1" s="109"/>
      <c r="BL1" s="109"/>
      <c r="BM1" s="109"/>
      <c r="BN1" s="109"/>
      <c r="BO1" s="110"/>
      <c r="BP1" s="108" t="s">
        <v>3562</v>
      </c>
      <c r="BQ1" s="113"/>
      <c r="BR1" s="113"/>
      <c r="BS1" s="113"/>
      <c r="BT1" s="113"/>
      <c r="BU1" s="109"/>
      <c r="BV1" s="109"/>
      <c r="BW1" s="109"/>
      <c r="BX1" s="109"/>
      <c r="BY1" s="110"/>
      <c r="BZ1" s="112" t="s">
        <v>3563</v>
      </c>
      <c r="CA1" s="112"/>
    </row>
    <row r="2" spans="2:79" s="35" customFormat="1" ht="31.5" x14ac:dyDescent="0.35">
      <c r="B2" s="1" t="s">
        <v>0</v>
      </c>
      <c r="C2" s="1" t="s">
        <v>1</v>
      </c>
      <c r="D2" s="1"/>
      <c r="E2" s="40" t="s">
        <v>3526</v>
      </c>
      <c r="F2" s="3" t="s">
        <v>3527</v>
      </c>
      <c r="G2" s="3" t="s">
        <v>3528</v>
      </c>
      <c r="H2" s="3" t="s">
        <v>5</v>
      </c>
      <c r="J2" s="88">
        <f>SUM(J5:J98)</f>
        <v>-1</v>
      </c>
      <c r="K2" s="89"/>
      <c r="L2" s="91" t="s">
        <v>3531</v>
      </c>
      <c r="M2" s="89"/>
      <c r="N2" s="90" t="s">
        <v>3564</v>
      </c>
      <c r="O2" s="90" t="s">
        <v>3565</v>
      </c>
      <c r="P2" s="90" t="s">
        <v>3566</v>
      </c>
      <c r="Q2" s="91" t="s">
        <v>3567</v>
      </c>
      <c r="R2" s="90"/>
      <c r="S2" s="90" t="s">
        <v>3568</v>
      </c>
      <c r="T2" s="90" t="s">
        <v>3569</v>
      </c>
      <c r="U2" s="90" t="s">
        <v>3570</v>
      </c>
      <c r="V2" s="91" t="s">
        <v>3571</v>
      </c>
      <c r="W2" s="90"/>
      <c r="X2" s="90" t="s">
        <v>3564</v>
      </c>
      <c r="Y2" s="90" t="s">
        <v>3565</v>
      </c>
      <c r="Z2" s="90" t="s">
        <v>3566</v>
      </c>
      <c r="AA2" s="91" t="s">
        <v>3567</v>
      </c>
      <c r="AB2" s="90"/>
      <c r="AC2" s="90" t="s">
        <v>3568</v>
      </c>
      <c r="AD2" s="90" t="s">
        <v>3569</v>
      </c>
      <c r="AE2" s="90" t="s">
        <v>3570</v>
      </c>
      <c r="AF2" s="90" t="s">
        <v>3571</v>
      </c>
      <c r="AG2" s="89"/>
      <c r="AH2" s="90" t="s">
        <v>3564</v>
      </c>
      <c r="AI2" s="90" t="s">
        <v>3565</v>
      </c>
      <c r="AJ2" s="90" t="s">
        <v>3566</v>
      </c>
      <c r="AK2" s="91" t="s">
        <v>3567</v>
      </c>
      <c r="AL2" s="90"/>
      <c r="AM2" s="90" t="s">
        <v>3568</v>
      </c>
      <c r="AN2" s="90" t="s">
        <v>3569</v>
      </c>
      <c r="AO2" s="90" t="s">
        <v>3570</v>
      </c>
      <c r="AP2" s="90" t="s">
        <v>3571</v>
      </c>
      <c r="AQ2" s="89"/>
      <c r="AR2" s="90" t="s">
        <v>3531</v>
      </c>
      <c r="AS2" s="90" t="s">
        <v>74</v>
      </c>
      <c r="AT2" s="90" t="s">
        <v>3572</v>
      </c>
      <c r="AU2" s="91" t="s">
        <v>122</v>
      </c>
      <c r="AV2" s="90"/>
      <c r="AW2" s="90" t="s">
        <v>3564</v>
      </c>
      <c r="AX2" s="90" t="s">
        <v>3565</v>
      </c>
      <c r="AY2" s="90" t="s">
        <v>3566</v>
      </c>
      <c r="AZ2" s="91" t="s">
        <v>3567</v>
      </c>
      <c r="BA2" s="90"/>
      <c r="BB2" s="90" t="s">
        <v>3568</v>
      </c>
      <c r="BC2" s="90" t="s">
        <v>3569</v>
      </c>
      <c r="BD2" s="90" t="s">
        <v>3570</v>
      </c>
      <c r="BE2" s="90" t="s">
        <v>3571</v>
      </c>
      <c r="BF2" s="89"/>
      <c r="BG2" s="90" t="s">
        <v>3564</v>
      </c>
      <c r="BH2" s="90" t="s">
        <v>3565</v>
      </c>
      <c r="BI2" s="90" t="s">
        <v>3566</v>
      </c>
      <c r="BJ2" s="91" t="s">
        <v>3567</v>
      </c>
      <c r="BK2" s="90"/>
      <c r="BL2" s="90" t="s">
        <v>3568</v>
      </c>
      <c r="BM2" s="90" t="s">
        <v>3569</v>
      </c>
      <c r="BN2" s="90" t="s">
        <v>3570</v>
      </c>
      <c r="BO2" s="90" t="s">
        <v>3571</v>
      </c>
      <c r="BP2" s="89"/>
      <c r="BQ2" s="90" t="s">
        <v>3564</v>
      </c>
      <c r="BR2" s="90" t="s">
        <v>3565</v>
      </c>
      <c r="BS2" s="90" t="s">
        <v>3566</v>
      </c>
      <c r="BT2" s="91" t="s">
        <v>3567</v>
      </c>
      <c r="BU2" s="90"/>
      <c r="BV2" s="90" t="s">
        <v>3568</v>
      </c>
      <c r="BW2" s="90" t="s">
        <v>3569</v>
      </c>
      <c r="BX2" s="90" t="s">
        <v>3570</v>
      </c>
      <c r="BY2" s="90" t="s">
        <v>3571</v>
      </c>
      <c r="BZ2" s="90"/>
      <c r="CA2" s="90"/>
    </row>
    <row r="3" spans="2:79" ht="18.75" x14ac:dyDescent="0.3">
      <c r="B3" s="1"/>
      <c r="C3" s="1"/>
      <c r="D3" s="1"/>
      <c r="E3" s="41">
        <f>SUM(E5:E98)</f>
        <v>65</v>
      </c>
      <c r="F3" s="41">
        <f t="shared" ref="F3:G3" si="0">SUM(F5:F98)</f>
        <v>300</v>
      </c>
      <c r="G3" s="41">
        <f t="shared" si="0"/>
        <v>135</v>
      </c>
      <c r="H3" s="41">
        <f>SUM(E3:G3)</f>
        <v>500</v>
      </c>
      <c r="J3" s="39"/>
      <c r="K3" s="82"/>
      <c r="L3" s="84">
        <f>SUM(L5:L98)</f>
        <v>73</v>
      </c>
      <c r="M3" s="82"/>
      <c r="N3" s="83">
        <f>SUM(N5:N98)</f>
        <v>50</v>
      </c>
      <c r="O3" s="83">
        <f>SUM(O5:O98)</f>
        <v>1</v>
      </c>
      <c r="P3" s="83">
        <f>SUM(P5:P98)</f>
        <v>41</v>
      </c>
      <c r="Q3" s="84">
        <f>SUM(Q5:Q98)</f>
        <v>8</v>
      </c>
      <c r="V3" s="84"/>
      <c r="X3" s="83">
        <f>SUM(X5:X98)</f>
        <v>82</v>
      </c>
      <c r="Y3" s="83">
        <f>SUM(Y5:Y98)</f>
        <v>13</v>
      </c>
      <c r="Z3" s="83">
        <f>SUM(Z5:Z98)</f>
        <v>45</v>
      </c>
      <c r="AA3" s="84">
        <f>SUM(AA5:AA98)</f>
        <v>24</v>
      </c>
      <c r="AG3" s="82"/>
      <c r="AH3" s="83">
        <f>SUM(AH5:AH98)</f>
        <v>82</v>
      </c>
      <c r="AI3" s="83">
        <f>SUM(AI5:AI98)</f>
        <v>11</v>
      </c>
      <c r="AJ3" s="83">
        <f>SUM(AJ5:AJ98)</f>
        <v>44</v>
      </c>
      <c r="AK3" s="84">
        <f>SUM(AK5:AK98)</f>
        <v>27</v>
      </c>
      <c r="AQ3" s="82"/>
      <c r="AR3" s="83">
        <f>SUM(AR5:AR98)</f>
        <v>32</v>
      </c>
      <c r="AS3" s="83">
        <f>SUM(AS5:AS98)</f>
        <v>5</v>
      </c>
      <c r="AT3" s="83">
        <f>SUM(AT5:AT98)</f>
        <v>18</v>
      </c>
      <c r="AU3" s="84">
        <f>SUM(AU5:AU98)</f>
        <v>9</v>
      </c>
      <c r="AW3" s="83">
        <f>SUM(AW5:AW98)</f>
        <v>50</v>
      </c>
      <c r="AX3" s="83">
        <f>SUM(AX5:AX98)</f>
        <v>7</v>
      </c>
      <c r="AY3" s="83">
        <f>SUM(AY5:AY98)</f>
        <v>26</v>
      </c>
      <c r="AZ3" s="84">
        <f>SUM(AZ5:AZ98)</f>
        <v>17</v>
      </c>
      <c r="BF3" s="82"/>
      <c r="BG3" s="83">
        <f>SUM(BG5:BG98)</f>
        <v>82</v>
      </c>
      <c r="BH3" s="83">
        <f>SUM(BH5:BH98)</f>
        <v>11</v>
      </c>
      <c r="BI3" s="83">
        <f>SUM(BI5:BI98)</f>
        <v>47</v>
      </c>
      <c r="BJ3" s="84">
        <f>SUM(BJ5:BJ98)</f>
        <v>24</v>
      </c>
      <c r="BP3" s="82"/>
      <c r="BQ3" s="83">
        <f>SUM(BQ5:BQ98)</f>
        <v>82</v>
      </c>
      <c r="BR3" s="83">
        <f>SUM(BR5:BR98)</f>
        <v>11</v>
      </c>
      <c r="BS3" s="83">
        <f>SUM(BS5:BS98)</f>
        <v>45</v>
      </c>
      <c r="BT3" s="84">
        <f>SUM(BT5:BT98)</f>
        <v>26</v>
      </c>
      <c r="BY3" s="84"/>
    </row>
    <row r="4" spans="2:79" ht="18.75" x14ac:dyDescent="0.3">
      <c r="B4" s="1"/>
      <c r="C4" s="1"/>
      <c r="D4" s="1"/>
      <c r="E4" s="41"/>
      <c r="F4" s="7"/>
      <c r="G4" s="7"/>
      <c r="H4" s="7"/>
      <c r="J4" s="81"/>
      <c r="K4" s="82"/>
      <c r="L4" s="84"/>
      <c r="M4" s="82"/>
      <c r="V4" s="84"/>
      <c r="AA4" s="84"/>
      <c r="AG4" s="82"/>
      <c r="AK4" s="84"/>
      <c r="AQ4" s="82"/>
      <c r="AU4" s="84"/>
      <c r="BF4" s="82"/>
      <c r="BJ4" s="84"/>
      <c r="BP4" s="82"/>
      <c r="BT4" s="84"/>
      <c r="BY4" s="84"/>
    </row>
    <row r="5" spans="2:79" x14ac:dyDescent="0.25">
      <c r="B5" s="74" t="s">
        <v>3573</v>
      </c>
      <c r="C5" s="74" t="s">
        <v>3574</v>
      </c>
      <c r="D5" s="6"/>
      <c r="E5" s="6">
        <v>1</v>
      </c>
      <c r="F5" s="6">
        <v>6</v>
      </c>
      <c r="G5" s="6">
        <v>3</v>
      </c>
      <c r="H5" s="6">
        <f>SUM(E5:G5)</f>
        <v>10</v>
      </c>
      <c r="J5" s="42">
        <f t="shared" ref="J5:J36" si="1">H5-SUM(N5,X5,AH5,AW5,BG5,BQ5,L5,CA5)</f>
        <v>0</v>
      </c>
      <c r="K5" s="82" t="s">
        <v>71</v>
      </c>
      <c r="L5" s="84">
        <v>1</v>
      </c>
      <c r="M5" s="82" t="s">
        <v>71</v>
      </c>
      <c r="N5" s="83">
        <f>SUM(O5:Q5)</f>
        <v>1</v>
      </c>
      <c r="P5" s="83">
        <v>1</v>
      </c>
      <c r="Q5" s="84"/>
      <c r="S5" s="83" t="e">
        <f>SUM(T5:V5)</f>
        <v>#REF!</v>
      </c>
      <c r="T5" s="83" t="e">
        <f>COUNTIFS('SPC-CPN_Q&amp;A'!#REF!,M$1,'SPC-CPN_Q&amp;A'!#REF!,'Writing assignments'!$C5,'SPC-CPN_Q&amp;A'!$O:$O,"Recall")</f>
        <v>#REF!</v>
      </c>
      <c r="U5" s="83" t="e">
        <f>COUNTIFS('SPC-CPN_Q&amp;A'!#REF!,M$1,'SPC-CPN_Q&amp;A'!#REF!,'Writing assignments'!$C5,'SPC-CPN_Q&amp;A'!$O:$O,"Application")</f>
        <v>#REF!</v>
      </c>
      <c r="V5" s="84" t="e">
        <f>COUNTIFS('SPC-CPN_Q&amp;A'!#REF!,M$1,'SPC-CPN_Q&amp;A'!#REF!,'Writing assignments'!$C5,'SPC-CPN_Q&amp;A'!$O:$O,"Analysis")</f>
        <v>#REF!</v>
      </c>
      <c r="W5" s="83" t="s">
        <v>71</v>
      </c>
      <c r="X5" s="83">
        <v>2</v>
      </c>
      <c r="Y5" s="83">
        <v>1</v>
      </c>
      <c r="Z5" s="83">
        <v>1</v>
      </c>
      <c r="AA5" s="84">
        <v>0</v>
      </c>
      <c r="AC5" s="83" t="e">
        <f>SUM(AD5:AF5)</f>
        <v>#REF!</v>
      </c>
      <c r="AD5" s="83" t="e">
        <f>COUNTIFS('SPC-CPN_Q&amp;A'!#REF!,W$1,'SPC-CPN_Q&amp;A'!#REF!,'Writing assignments'!$C5,'SPC-CPN_Q&amp;A'!$O:$O,"Recall")</f>
        <v>#REF!</v>
      </c>
      <c r="AE5" s="83" t="e">
        <f>COUNTIFS('SPC-CPN_Q&amp;A'!#REF!,W$1,'SPC-CPN_Q&amp;A'!#REF!,'Writing assignments'!$C5,'SPC-CPN_Q&amp;A'!$O:$O,"Application")</f>
        <v>#REF!</v>
      </c>
      <c r="AF5" s="83" t="e">
        <f>COUNTIFS('SPC-CPN_Q&amp;A'!#REF!,W$1,'SPC-CPN_Q&amp;A'!#REF!,'Writing assignments'!$C5,'SPC-CPN_Q&amp;A'!$O:$O,"Analysis")</f>
        <v>#REF!</v>
      </c>
      <c r="AG5" s="82" t="s">
        <v>71</v>
      </c>
      <c r="AH5" s="83">
        <v>2</v>
      </c>
      <c r="AI5" s="83">
        <v>0</v>
      </c>
      <c r="AJ5" s="83">
        <v>1</v>
      </c>
      <c r="AK5" s="84">
        <v>1</v>
      </c>
      <c r="AM5" s="83" t="e">
        <f>SUM(AN5:AP5)</f>
        <v>#REF!</v>
      </c>
      <c r="AN5" s="83" t="e">
        <f>COUNTIFS('SPC-CPN_Q&amp;A'!#REF!,AG$1,'SPC-CPN_Q&amp;A'!#REF!,'Writing assignments'!$C5,'SPC-CPN_Q&amp;A'!$O:$O,"Recall")</f>
        <v>#REF!</v>
      </c>
      <c r="AO5" s="83" t="e">
        <f>COUNTIFS('SPC-CPN_Q&amp;A'!#REF!,AG$1,'SPC-CPN_Q&amp;A'!#REF!,'Writing assignments'!$C5,'SPC-CPN_Q&amp;A'!$O:$O,"Application")</f>
        <v>#REF!</v>
      </c>
      <c r="AP5" s="83" t="e">
        <f>COUNTIFS('SPC-CPN_Q&amp;A'!#REF!,AG$1,'SPC-CPN_Q&amp;A'!#REF!,'Writing assignments'!$C5,'SPC-CPN_Q&amp;A'!$O:$O,"Analysis")</f>
        <v>#REF!</v>
      </c>
      <c r="AQ5" s="82"/>
      <c r="AU5" s="84"/>
      <c r="AV5" s="82" t="s">
        <v>71</v>
      </c>
      <c r="AW5" s="83">
        <v>2</v>
      </c>
      <c r="AX5" s="83">
        <v>0</v>
      </c>
      <c r="AY5" s="83">
        <v>1</v>
      </c>
      <c r="AZ5" s="84">
        <v>1</v>
      </c>
      <c r="BB5" s="83" t="e">
        <f>SUM(BC5:BE5)</f>
        <v>#REF!</v>
      </c>
      <c r="BC5" s="83" t="e">
        <f>COUNTIFS('SPC-CPN_Q&amp;A'!#REF!,AV$1,'SPC-CPN_Q&amp;A'!#REF!,'Writing assignments'!$C5,'SPC-CPN_Q&amp;A'!$O:$O,"Recall")</f>
        <v>#REF!</v>
      </c>
      <c r="BD5" s="83" t="e">
        <f>COUNTIFS('SPC-CPN_Q&amp;A'!#REF!,AV$1,'SPC-CPN_Q&amp;A'!#REF!,'Writing assignments'!$C5,'SPC-CPN_Q&amp;A'!$O:$O,"Application")</f>
        <v>#REF!</v>
      </c>
      <c r="BE5" s="83" t="e">
        <f>COUNTIFS('SPC-CPN_Q&amp;A'!#REF!,AV$1,'SPC-CPN_Q&amp;A'!#REF!,'Writing assignments'!$C5,'SPC-CPN_Q&amp;A'!$O:$O,"Analysis")</f>
        <v>#REF!</v>
      </c>
      <c r="BF5" s="82" t="s">
        <v>71</v>
      </c>
      <c r="BG5" s="83">
        <v>2</v>
      </c>
      <c r="BI5" s="83">
        <v>1</v>
      </c>
      <c r="BJ5" s="84">
        <v>1</v>
      </c>
      <c r="BL5" s="83" t="e">
        <f>SUM(BM5:BO5)</f>
        <v>#REF!</v>
      </c>
      <c r="BM5" s="83" t="e">
        <f>COUNTIFS('SPC-CPN_Q&amp;A'!#REF!,BF$1,'SPC-CPN_Q&amp;A'!#REF!,'Writing assignments'!$C5,'SPC-CPN_Q&amp;A'!$O:$O,"Recall")</f>
        <v>#REF!</v>
      </c>
      <c r="BN5" s="83" t="e">
        <f>COUNTIFS('SPC-CPN_Q&amp;A'!#REF!,BF$1,'SPC-CPN_Q&amp;A'!#REF!,'Writing assignments'!$C5,'SPC-CPN_Q&amp;A'!$O:$O,"Application")</f>
        <v>#REF!</v>
      </c>
      <c r="BO5" s="83" t="e">
        <f>COUNTIFS('SPC-CPN_Q&amp;A'!#REF!,BF$1,'SPC-CPN_Q&amp;A'!#REF!,'Writing assignments'!$C5,'SPC-CPN_Q&amp;A'!$O:$O,"Analysis")</f>
        <v>#REF!</v>
      </c>
      <c r="BP5" s="82"/>
      <c r="BT5" s="84"/>
      <c r="BV5" s="83" t="e">
        <f>SUM(BW5:BY5)</f>
        <v>#REF!</v>
      </c>
      <c r="BW5" s="83" t="e">
        <f>COUNTIFS('SPC-CPN_Q&amp;A'!#REF!,BP$1,'SPC-CPN_Q&amp;A'!#REF!,'Writing assignments'!$C5,'SPC-CPN_Q&amp;A'!$O:$O,"Recall")</f>
        <v>#REF!</v>
      </c>
      <c r="BX5" s="83" t="e">
        <f>COUNTIFS('SPC-CPN_Q&amp;A'!#REF!,BP$1,'SPC-CPN_Q&amp;A'!#REF!,'Writing assignments'!$C5,'SPC-CPN_Q&amp;A'!$O:$O,"Application")</f>
        <v>#REF!</v>
      </c>
      <c r="BY5" s="83" t="e">
        <f>COUNTIFS('SPC-CPN_Q&amp;A'!#REF!,BP$1,'SPC-CPN_Q&amp;A'!#REF!,'Writing assignments'!$C5,'SPC-CPN_Q&amp;A'!$O:$O,"Analysis")</f>
        <v>#REF!</v>
      </c>
      <c r="CA5" s="83">
        <v>0</v>
      </c>
    </row>
    <row r="6" spans="2:79" x14ac:dyDescent="0.25">
      <c r="B6" s="74" t="s">
        <v>3573</v>
      </c>
      <c r="C6" s="74" t="s">
        <v>3575</v>
      </c>
      <c r="D6" s="6"/>
      <c r="E6" s="6">
        <v>1</v>
      </c>
      <c r="F6" s="6">
        <v>6</v>
      </c>
      <c r="G6" s="6">
        <v>3</v>
      </c>
      <c r="H6" s="6">
        <f t="shared" ref="H6:H69" si="2">SUM(E6:G6)</f>
        <v>10</v>
      </c>
      <c r="J6" s="42">
        <f t="shared" si="1"/>
        <v>0</v>
      </c>
      <c r="K6" s="82"/>
      <c r="L6" s="84">
        <v>0</v>
      </c>
      <c r="M6" s="82" t="s">
        <v>71</v>
      </c>
      <c r="N6" s="83">
        <f t="shared" ref="N6:N69" si="3">SUM(O6:Q6)</f>
        <v>3</v>
      </c>
      <c r="P6" s="83">
        <v>2</v>
      </c>
      <c r="Q6" s="84">
        <v>1</v>
      </c>
      <c r="S6" s="83" t="e">
        <f t="shared" ref="S6:S69" si="4">SUM(T6:V6)</f>
        <v>#REF!</v>
      </c>
      <c r="T6" s="83" t="e">
        <f>COUNTIFS('SPC-CPN_Q&amp;A'!#REF!,M$1,'SPC-CPN_Q&amp;A'!#REF!,'Writing assignments'!$C6,'SPC-CPN_Q&amp;A'!$O:$O,"Recall")</f>
        <v>#REF!</v>
      </c>
      <c r="U6" s="83" t="e">
        <f>COUNTIFS('SPC-CPN_Q&amp;A'!#REF!,M$1,'SPC-CPN_Q&amp;A'!#REF!,'Writing assignments'!$C6,'SPC-CPN_Q&amp;A'!$O:$O,"Application")</f>
        <v>#REF!</v>
      </c>
      <c r="V6" s="84" t="e">
        <f>COUNTIFS('SPC-CPN_Q&amp;A'!#REF!,M$1,'SPC-CPN_Q&amp;A'!#REF!,'Writing assignments'!$C6,'SPC-CPN_Q&amp;A'!$O:$O,"Analysis")</f>
        <v>#REF!</v>
      </c>
      <c r="AA6" s="84"/>
      <c r="AC6" s="83" t="e">
        <f t="shared" ref="AC6:AC69" si="5">SUM(AD6:AF6)</f>
        <v>#REF!</v>
      </c>
      <c r="AD6" s="83" t="e">
        <f>COUNTIFS('SPC-CPN_Q&amp;A'!#REF!,W$1,'SPC-CPN_Q&amp;A'!#REF!,'Writing assignments'!$C6,'SPC-CPN_Q&amp;A'!$O:$O,"Recall")</f>
        <v>#REF!</v>
      </c>
      <c r="AE6" s="83" t="e">
        <f>COUNTIFS('SPC-CPN_Q&amp;A'!#REF!,W$1,'SPC-CPN_Q&amp;A'!#REF!,'Writing assignments'!$C6,'SPC-CPN_Q&amp;A'!$O:$O,"Application")</f>
        <v>#REF!</v>
      </c>
      <c r="AF6" s="83" t="e">
        <f>COUNTIFS('SPC-CPN_Q&amp;A'!#REF!,W$1,'SPC-CPN_Q&amp;A'!#REF!,'Writing assignments'!$C6,'SPC-CPN_Q&amp;A'!$O:$O,"Analysis")</f>
        <v>#REF!</v>
      </c>
      <c r="AG6" s="82"/>
      <c r="AK6" s="84"/>
      <c r="AM6" s="83" t="e">
        <f t="shared" ref="AM6:AM69" si="6">SUM(AN6:AP6)</f>
        <v>#REF!</v>
      </c>
      <c r="AN6" s="83" t="e">
        <f>COUNTIFS('SPC-CPN_Q&amp;A'!#REF!,AG$1,'SPC-CPN_Q&amp;A'!#REF!,'Writing assignments'!$C6,'SPC-CPN_Q&amp;A'!$O:$O,"Recall")</f>
        <v>#REF!</v>
      </c>
      <c r="AO6" s="83" t="e">
        <f>COUNTIFS('SPC-CPN_Q&amp;A'!#REF!,AG$1,'SPC-CPN_Q&amp;A'!#REF!,'Writing assignments'!$C6,'SPC-CPN_Q&amp;A'!$O:$O,"Application")</f>
        <v>#REF!</v>
      </c>
      <c r="AP6" s="83" t="e">
        <f>COUNTIFS('SPC-CPN_Q&amp;A'!#REF!,AG$1,'SPC-CPN_Q&amp;A'!#REF!,'Writing assignments'!$C6,'SPC-CPN_Q&amp;A'!$O:$O,"Analysis")</f>
        <v>#REF!</v>
      </c>
      <c r="AQ6" s="82"/>
      <c r="AU6" s="84"/>
      <c r="AV6" s="82" t="s">
        <v>71</v>
      </c>
      <c r="AW6" s="83">
        <v>3</v>
      </c>
      <c r="AX6" s="83">
        <v>1</v>
      </c>
      <c r="AY6" s="83">
        <v>1</v>
      </c>
      <c r="AZ6" s="84">
        <v>1</v>
      </c>
      <c r="BB6" s="83" t="e">
        <f t="shared" ref="BB6:BB69" si="7">SUM(BC6:BE6)</f>
        <v>#REF!</v>
      </c>
      <c r="BC6" s="83" t="e">
        <f>COUNTIFS('SPC-CPN_Q&amp;A'!#REF!,AV$1,'SPC-CPN_Q&amp;A'!#REF!,'Writing assignments'!$C6,'SPC-CPN_Q&amp;A'!$O:$O,"Recall")</f>
        <v>#REF!</v>
      </c>
      <c r="BD6" s="83" t="e">
        <f>COUNTIFS('SPC-CPN_Q&amp;A'!#REF!,AV$1,'SPC-CPN_Q&amp;A'!#REF!,'Writing assignments'!$C6,'SPC-CPN_Q&amp;A'!$O:$O,"Application")</f>
        <v>#REF!</v>
      </c>
      <c r="BE6" s="83" t="e">
        <f>COUNTIFS('SPC-CPN_Q&amp;A'!#REF!,AV$1,'SPC-CPN_Q&amp;A'!#REF!,'Writing assignments'!$C6,'SPC-CPN_Q&amp;A'!$O:$O,"Analysis")</f>
        <v>#REF!</v>
      </c>
      <c r="BF6" s="82" t="s">
        <v>71</v>
      </c>
      <c r="BG6" s="83">
        <v>2</v>
      </c>
      <c r="BH6" s="83">
        <v>0</v>
      </c>
      <c r="BI6" s="83">
        <v>1</v>
      </c>
      <c r="BJ6" s="84">
        <v>1</v>
      </c>
      <c r="BL6" s="83" t="e">
        <f t="shared" ref="BL6:BL69" si="8">SUM(BM6:BO6)</f>
        <v>#REF!</v>
      </c>
      <c r="BM6" s="83" t="e">
        <f>COUNTIFS('SPC-CPN_Q&amp;A'!#REF!,BF$1,'SPC-CPN_Q&amp;A'!#REF!,'Writing assignments'!$C6,'SPC-CPN_Q&amp;A'!$O:$O,"Recall")</f>
        <v>#REF!</v>
      </c>
      <c r="BN6" s="83" t="e">
        <f>COUNTIFS('SPC-CPN_Q&amp;A'!#REF!,BF$1,'SPC-CPN_Q&amp;A'!#REF!,'Writing assignments'!$C6,'SPC-CPN_Q&amp;A'!$O:$O,"Application")</f>
        <v>#REF!</v>
      </c>
      <c r="BO6" s="83" t="e">
        <f>COUNTIFS('SPC-CPN_Q&amp;A'!#REF!,BF$1,'SPC-CPN_Q&amp;A'!#REF!,'Writing assignments'!$C6,'SPC-CPN_Q&amp;A'!$O:$O,"Analysis")</f>
        <v>#REF!</v>
      </c>
      <c r="BP6" s="82" t="s">
        <v>71</v>
      </c>
      <c r="BQ6" s="83">
        <v>2</v>
      </c>
      <c r="BR6" s="83">
        <v>0</v>
      </c>
      <c r="BS6" s="83">
        <v>1</v>
      </c>
      <c r="BT6" s="84">
        <v>1</v>
      </c>
      <c r="BV6" s="83" t="e">
        <f t="shared" ref="BV6:BV69" si="9">SUM(BW6:BY6)</f>
        <v>#REF!</v>
      </c>
      <c r="BW6" s="83" t="e">
        <f>COUNTIFS('SPC-CPN_Q&amp;A'!#REF!,BP$1,'SPC-CPN_Q&amp;A'!#REF!,'Writing assignments'!$C6,'SPC-CPN_Q&amp;A'!$O:$O,"Recall")</f>
        <v>#REF!</v>
      </c>
      <c r="BX6" s="83" t="e">
        <f>COUNTIFS('SPC-CPN_Q&amp;A'!#REF!,BP$1,'SPC-CPN_Q&amp;A'!#REF!,'Writing assignments'!$C6,'SPC-CPN_Q&amp;A'!$O:$O,"Application")</f>
        <v>#REF!</v>
      </c>
      <c r="BY6" s="83" t="e">
        <f>COUNTIFS('SPC-CPN_Q&amp;A'!#REF!,BP$1,'SPC-CPN_Q&amp;A'!#REF!,'Writing assignments'!$C6,'SPC-CPN_Q&amp;A'!$O:$O,"Analysis")</f>
        <v>#REF!</v>
      </c>
      <c r="CA6" s="83">
        <v>0</v>
      </c>
    </row>
    <row r="7" spans="2:79" x14ac:dyDescent="0.25">
      <c r="B7" s="74" t="s">
        <v>3573</v>
      </c>
      <c r="C7" s="74" t="s">
        <v>3576</v>
      </c>
      <c r="D7" s="6"/>
      <c r="E7" s="6">
        <v>1</v>
      </c>
      <c r="F7" s="6">
        <v>6</v>
      </c>
      <c r="G7" s="6">
        <v>3</v>
      </c>
      <c r="H7" s="6">
        <f t="shared" si="2"/>
        <v>10</v>
      </c>
      <c r="J7" s="42">
        <f t="shared" si="1"/>
        <v>0</v>
      </c>
      <c r="K7" s="82" t="s">
        <v>71</v>
      </c>
      <c r="L7" s="84">
        <v>1</v>
      </c>
      <c r="M7" s="82"/>
      <c r="N7" s="83">
        <f t="shared" si="3"/>
        <v>0</v>
      </c>
      <c r="S7" s="83" t="e">
        <f t="shared" si="4"/>
        <v>#REF!</v>
      </c>
      <c r="T7" s="83" t="e">
        <f>COUNTIFS('SPC-CPN_Q&amp;A'!#REF!,M$1,'SPC-CPN_Q&amp;A'!#REF!,'Writing assignments'!$C7,'SPC-CPN_Q&amp;A'!$O:$O,"Recall")</f>
        <v>#REF!</v>
      </c>
      <c r="U7" s="83" t="e">
        <f>COUNTIFS('SPC-CPN_Q&amp;A'!#REF!,M$1,'SPC-CPN_Q&amp;A'!#REF!,'Writing assignments'!$C7,'SPC-CPN_Q&amp;A'!$O:$O,"Application")</f>
        <v>#REF!</v>
      </c>
      <c r="V7" s="84" t="e">
        <f>COUNTIFS('SPC-CPN_Q&amp;A'!#REF!,M$1,'SPC-CPN_Q&amp;A'!#REF!,'Writing assignments'!$C7,'SPC-CPN_Q&amp;A'!$O:$O,"Analysis")</f>
        <v>#REF!</v>
      </c>
      <c r="W7" s="83" t="s">
        <v>71</v>
      </c>
      <c r="X7" s="83">
        <v>3</v>
      </c>
      <c r="Y7" s="83">
        <v>0</v>
      </c>
      <c r="Z7" s="83">
        <v>2</v>
      </c>
      <c r="AA7" s="84">
        <v>1</v>
      </c>
      <c r="AC7" s="83" t="e">
        <f t="shared" si="5"/>
        <v>#REF!</v>
      </c>
      <c r="AD7" s="83" t="e">
        <f>COUNTIFS('SPC-CPN_Q&amp;A'!#REF!,W$1,'SPC-CPN_Q&amp;A'!#REF!,'Writing assignments'!$C7,'SPC-CPN_Q&amp;A'!$O:$O,"Recall")</f>
        <v>#REF!</v>
      </c>
      <c r="AE7" s="83" t="e">
        <f>COUNTIFS('SPC-CPN_Q&amp;A'!#REF!,W$1,'SPC-CPN_Q&amp;A'!#REF!,'Writing assignments'!$C7,'SPC-CPN_Q&amp;A'!$O:$O,"Application")</f>
        <v>#REF!</v>
      </c>
      <c r="AF7" s="83" t="e">
        <f>COUNTIFS('SPC-CPN_Q&amp;A'!#REF!,W$1,'SPC-CPN_Q&amp;A'!#REF!,'Writing assignments'!$C7,'SPC-CPN_Q&amp;A'!$O:$O,"Analysis")</f>
        <v>#REF!</v>
      </c>
      <c r="AG7" s="82" t="s">
        <v>71</v>
      </c>
      <c r="AH7" s="83">
        <v>3</v>
      </c>
      <c r="AI7" s="83">
        <v>1</v>
      </c>
      <c r="AJ7" s="83">
        <v>1</v>
      </c>
      <c r="AK7" s="84">
        <v>1</v>
      </c>
      <c r="AM7" s="83" t="e">
        <f t="shared" si="6"/>
        <v>#REF!</v>
      </c>
      <c r="AN7" s="83" t="e">
        <f>COUNTIFS('SPC-CPN_Q&amp;A'!#REF!,AG$1,'SPC-CPN_Q&amp;A'!#REF!,'Writing assignments'!$C7,'SPC-CPN_Q&amp;A'!$O:$O,"Recall")</f>
        <v>#REF!</v>
      </c>
      <c r="AO7" s="83" t="e">
        <f>COUNTIFS('SPC-CPN_Q&amp;A'!#REF!,AG$1,'SPC-CPN_Q&amp;A'!#REF!,'Writing assignments'!$C7,'SPC-CPN_Q&amp;A'!$O:$O,"Application")</f>
        <v>#REF!</v>
      </c>
      <c r="AP7" s="83" t="e">
        <f>COUNTIFS('SPC-CPN_Q&amp;A'!#REF!,AG$1,'SPC-CPN_Q&amp;A'!#REF!,'Writing assignments'!$C7,'SPC-CPN_Q&amp;A'!$O:$O,"Analysis")</f>
        <v>#REF!</v>
      </c>
      <c r="AQ7" s="82"/>
      <c r="AU7" s="84"/>
      <c r="BB7" s="83" t="e">
        <f t="shared" si="7"/>
        <v>#REF!</v>
      </c>
      <c r="BC7" s="83" t="e">
        <f>COUNTIFS('SPC-CPN_Q&amp;A'!#REF!,AV$1,'SPC-CPN_Q&amp;A'!#REF!,'Writing assignments'!$C7,'SPC-CPN_Q&amp;A'!$O:$O,"Recall")</f>
        <v>#REF!</v>
      </c>
      <c r="BD7" s="83" t="e">
        <f>COUNTIFS('SPC-CPN_Q&amp;A'!#REF!,AV$1,'SPC-CPN_Q&amp;A'!#REF!,'Writing assignments'!$C7,'SPC-CPN_Q&amp;A'!$O:$O,"Application")</f>
        <v>#REF!</v>
      </c>
      <c r="BE7" s="83" t="e">
        <f>COUNTIFS('SPC-CPN_Q&amp;A'!#REF!,AV$1,'SPC-CPN_Q&amp;A'!#REF!,'Writing assignments'!$C7,'SPC-CPN_Q&amp;A'!$O:$O,"Analysis")</f>
        <v>#REF!</v>
      </c>
      <c r="BF7" s="82" t="s">
        <v>71</v>
      </c>
      <c r="BG7" s="83">
        <v>3</v>
      </c>
      <c r="BH7" s="83">
        <v>0</v>
      </c>
      <c r="BI7" s="83">
        <v>2</v>
      </c>
      <c r="BJ7" s="84">
        <v>1</v>
      </c>
      <c r="BL7" s="83" t="e">
        <f t="shared" si="8"/>
        <v>#REF!</v>
      </c>
      <c r="BM7" s="83" t="e">
        <f>COUNTIFS('SPC-CPN_Q&amp;A'!#REF!,BF$1,'SPC-CPN_Q&amp;A'!#REF!,'Writing assignments'!$C7,'SPC-CPN_Q&amp;A'!$O:$O,"Recall")</f>
        <v>#REF!</v>
      </c>
      <c r="BN7" s="83" t="e">
        <f>COUNTIFS('SPC-CPN_Q&amp;A'!#REF!,BF$1,'SPC-CPN_Q&amp;A'!#REF!,'Writing assignments'!$C7,'SPC-CPN_Q&amp;A'!$O:$O,"Application")</f>
        <v>#REF!</v>
      </c>
      <c r="BO7" s="83" t="e">
        <f>COUNTIFS('SPC-CPN_Q&amp;A'!#REF!,BF$1,'SPC-CPN_Q&amp;A'!#REF!,'Writing assignments'!$C7,'SPC-CPN_Q&amp;A'!$O:$O,"Analysis")</f>
        <v>#REF!</v>
      </c>
      <c r="BP7" s="82"/>
      <c r="BT7" s="84"/>
      <c r="BV7" s="83" t="e">
        <f t="shared" si="9"/>
        <v>#REF!</v>
      </c>
      <c r="BW7" s="83" t="e">
        <f>COUNTIFS('SPC-CPN_Q&amp;A'!#REF!,BP$1,'SPC-CPN_Q&amp;A'!#REF!,'Writing assignments'!$C7,'SPC-CPN_Q&amp;A'!$O:$O,"Recall")</f>
        <v>#REF!</v>
      </c>
      <c r="BX7" s="83" t="e">
        <f>COUNTIFS('SPC-CPN_Q&amp;A'!#REF!,BP$1,'SPC-CPN_Q&amp;A'!#REF!,'Writing assignments'!$C7,'SPC-CPN_Q&amp;A'!$O:$O,"Application")</f>
        <v>#REF!</v>
      </c>
      <c r="BY7" s="83" t="e">
        <f>COUNTIFS('SPC-CPN_Q&amp;A'!#REF!,BP$1,'SPC-CPN_Q&amp;A'!#REF!,'Writing assignments'!$C7,'SPC-CPN_Q&amp;A'!$O:$O,"Analysis")</f>
        <v>#REF!</v>
      </c>
      <c r="CA7" s="83">
        <v>0</v>
      </c>
    </row>
    <row r="8" spans="2:79" x14ac:dyDescent="0.25">
      <c r="B8" s="74" t="s">
        <v>3573</v>
      </c>
      <c r="C8" s="74" t="s">
        <v>3577</v>
      </c>
      <c r="D8" s="6"/>
      <c r="E8" s="6">
        <v>1</v>
      </c>
      <c r="F8" s="6">
        <v>6</v>
      </c>
      <c r="G8" s="6">
        <v>3</v>
      </c>
      <c r="H8" s="6">
        <f t="shared" si="2"/>
        <v>10</v>
      </c>
      <c r="J8" s="42">
        <f t="shared" si="1"/>
        <v>0</v>
      </c>
      <c r="K8" s="82"/>
      <c r="L8" s="84">
        <v>0</v>
      </c>
      <c r="M8" s="82" t="s">
        <v>71</v>
      </c>
      <c r="N8" s="83">
        <f t="shared" si="3"/>
        <v>1</v>
      </c>
      <c r="P8" s="83">
        <v>1</v>
      </c>
      <c r="Q8" s="84"/>
      <c r="S8" s="83" t="e">
        <f t="shared" si="4"/>
        <v>#REF!</v>
      </c>
      <c r="T8" s="83" t="e">
        <f>COUNTIFS('SPC-CPN_Q&amp;A'!#REF!,M$1,'SPC-CPN_Q&amp;A'!#REF!,'Writing assignments'!$C8,'SPC-CPN_Q&amp;A'!$O:$O,"Recall")</f>
        <v>#REF!</v>
      </c>
      <c r="U8" s="83" t="e">
        <f>COUNTIFS('SPC-CPN_Q&amp;A'!#REF!,M$1,'SPC-CPN_Q&amp;A'!#REF!,'Writing assignments'!$C8,'SPC-CPN_Q&amp;A'!$O:$O,"Application")</f>
        <v>#REF!</v>
      </c>
      <c r="V8" s="84" t="e">
        <f>COUNTIFS('SPC-CPN_Q&amp;A'!#REF!,M$1,'SPC-CPN_Q&amp;A'!#REF!,'Writing assignments'!$C8,'SPC-CPN_Q&amp;A'!$O:$O,"Analysis")</f>
        <v>#REF!</v>
      </c>
      <c r="AA8" s="84"/>
      <c r="AC8" s="83" t="e">
        <f t="shared" si="5"/>
        <v>#REF!</v>
      </c>
      <c r="AD8" s="83" t="e">
        <f>COUNTIFS('SPC-CPN_Q&amp;A'!#REF!,W$1,'SPC-CPN_Q&amp;A'!#REF!,'Writing assignments'!$C8,'SPC-CPN_Q&amp;A'!$O:$O,"Recall")</f>
        <v>#REF!</v>
      </c>
      <c r="AE8" s="83" t="e">
        <f>COUNTIFS('SPC-CPN_Q&amp;A'!#REF!,W$1,'SPC-CPN_Q&amp;A'!#REF!,'Writing assignments'!$C8,'SPC-CPN_Q&amp;A'!$O:$O,"Application")</f>
        <v>#REF!</v>
      </c>
      <c r="AF8" s="83" t="e">
        <f>COUNTIFS('SPC-CPN_Q&amp;A'!#REF!,W$1,'SPC-CPN_Q&amp;A'!#REF!,'Writing assignments'!$C8,'SPC-CPN_Q&amp;A'!$O:$O,"Analysis")</f>
        <v>#REF!</v>
      </c>
      <c r="AG8" s="82"/>
      <c r="AK8" s="84"/>
      <c r="AM8" s="83" t="e">
        <f t="shared" si="6"/>
        <v>#REF!</v>
      </c>
      <c r="AN8" s="83" t="e">
        <f>COUNTIFS('SPC-CPN_Q&amp;A'!#REF!,AG$1,'SPC-CPN_Q&amp;A'!#REF!,'Writing assignments'!$C8,'SPC-CPN_Q&amp;A'!$O:$O,"Recall")</f>
        <v>#REF!</v>
      </c>
      <c r="AO8" s="83" t="e">
        <f>COUNTIFS('SPC-CPN_Q&amp;A'!#REF!,AG$1,'SPC-CPN_Q&amp;A'!#REF!,'Writing assignments'!$C8,'SPC-CPN_Q&amp;A'!$O:$O,"Application")</f>
        <v>#REF!</v>
      </c>
      <c r="AP8" s="83" t="e">
        <f>COUNTIFS('SPC-CPN_Q&amp;A'!#REF!,AG$1,'SPC-CPN_Q&amp;A'!#REF!,'Writing assignments'!$C8,'SPC-CPN_Q&amp;A'!$O:$O,"Analysis")</f>
        <v>#REF!</v>
      </c>
      <c r="AQ8" s="82"/>
      <c r="AU8" s="84"/>
      <c r="AV8" s="82" t="s">
        <v>71</v>
      </c>
      <c r="AW8" s="83">
        <v>3</v>
      </c>
      <c r="AX8" s="83">
        <v>0</v>
      </c>
      <c r="AY8" s="83">
        <v>2</v>
      </c>
      <c r="AZ8" s="84">
        <v>1</v>
      </c>
      <c r="BB8" s="83" t="e">
        <f t="shared" si="7"/>
        <v>#REF!</v>
      </c>
      <c r="BC8" s="83" t="e">
        <f>COUNTIFS('SPC-CPN_Q&amp;A'!#REF!,AV$1,'SPC-CPN_Q&amp;A'!#REF!,'Writing assignments'!$C8,'SPC-CPN_Q&amp;A'!$O:$O,"Recall")</f>
        <v>#REF!</v>
      </c>
      <c r="BD8" s="83" t="e">
        <f>COUNTIFS('SPC-CPN_Q&amp;A'!#REF!,AV$1,'SPC-CPN_Q&amp;A'!#REF!,'Writing assignments'!$C8,'SPC-CPN_Q&amp;A'!$O:$O,"Application")</f>
        <v>#REF!</v>
      </c>
      <c r="BE8" s="83" t="e">
        <f>COUNTIFS('SPC-CPN_Q&amp;A'!#REF!,AV$1,'SPC-CPN_Q&amp;A'!#REF!,'Writing assignments'!$C8,'SPC-CPN_Q&amp;A'!$O:$O,"Analysis")</f>
        <v>#REF!</v>
      </c>
      <c r="BF8" s="82" t="s">
        <v>71</v>
      </c>
      <c r="BG8" s="83">
        <v>3</v>
      </c>
      <c r="BH8" s="83">
        <v>1</v>
      </c>
      <c r="BI8" s="83">
        <v>1</v>
      </c>
      <c r="BJ8" s="84">
        <v>1</v>
      </c>
      <c r="BL8" s="83" t="e">
        <f t="shared" si="8"/>
        <v>#REF!</v>
      </c>
      <c r="BM8" s="83" t="e">
        <f>COUNTIFS('SPC-CPN_Q&amp;A'!#REF!,BF$1,'SPC-CPN_Q&amp;A'!#REF!,'Writing assignments'!$C8,'SPC-CPN_Q&amp;A'!$O:$O,"Recall")</f>
        <v>#REF!</v>
      </c>
      <c r="BN8" s="83" t="e">
        <f>COUNTIFS('SPC-CPN_Q&amp;A'!#REF!,BF$1,'SPC-CPN_Q&amp;A'!#REF!,'Writing assignments'!$C8,'SPC-CPN_Q&amp;A'!$O:$O,"Application")</f>
        <v>#REF!</v>
      </c>
      <c r="BO8" s="83" t="e">
        <f>COUNTIFS('SPC-CPN_Q&amp;A'!#REF!,BF$1,'SPC-CPN_Q&amp;A'!#REF!,'Writing assignments'!$C8,'SPC-CPN_Q&amp;A'!$O:$O,"Analysis")</f>
        <v>#REF!</v>
      </c>
      <c r="BP8" s="82" t="s">
        <v>71</v>
      </c>
      <c r="BQ8" s="83">
        <v>3</v>
      </c>
      <c r="BR8" s="83">
        <v>0</v>
      </c>
      <c r="BS8" s="83">
        <v>2</v>
      </c>
      <c r="BT8" s="84">
        <v>1</v>
      </c>
      <c r="BV8" s="83" t="e">
        <f t="shared" si="9"/>
        <v>#REF!</v>
      </c>
      <c r="BW8" s="83" t="e">
        <f>COUNTIFS('SPC-CPN_Q&amp;A'!#REF!,BP$1,'SPC-CPN_Q&amp;A'!#REF!,'Writing assignments'!$C8,'SPC-CPN_Q&amp;A'!$O:$O,"Recall")</f>
        <v>#REF!</v>
      </c>
      <c r="BX8" s="83" t="e">
        <f>COUNTIFS('SPC-CPN_Q&amp;A'!#REF!,BP$1,'SPC-CPN_Q&amp;A'!#REF!,'Writing assignments'!$C8,'SPC-CPN_Q&amp;A'!$O:$O,"Application")</f>
        <v>#REF!</v>
      </c>
      <c r="BY8" s="83" t="e">
        <f>COUNTIFS('SPC-CPN_Q&amp;A'!#REF!,BP$1,'SPC-CPN_Q&amp;A'!#REF!,'Writing assignments'!$C8,'SPC-CPN_Q&amp;A'!$O:$O,"Analysis")</f>
        <v>#REF!</v>
      </c>
      <c r="CA8" s="83">
        <v>0</v>
      </c>
    </row>
    <row r="9" spans="2:79" x14ac:dyDescent="0.25">
      <c r="B9" s="74" t="s">
        <v>3573</v>
      </c>
      <c r="C9" s="74" t="s">
        <v>3578</v>
      </c>
      <c r="D9" s="6"/>
      <c r="E9" s="6">
        <v>1</v>
      </c>
      <c r="F9" s="6">
        <v>6</v>
      </c>
      <c r="G9" s="6">
        <v>3</v>
      </c>
      <c r="H9" s="6">
        <f t="shared" si="2"/>
        <v>10</v>
      </c>
      <c r="J9" s="42">
        <f t="shared" si="1"/>
        <v>0</v>
      </c>
      <c r="K9" s="82"/>
      <c r="L9" s="84">
        <v>0</v>
      </c>
      <c r="M9" s="82"/>
      <c r="N9" s="83">
        <f t="shared" si="3"/>
        <v>0</v>
      </c>
      <c r="S9" s="83" t="e">
        <f t="shared" si="4"/>
        <v>#REF!</v>
      </c>
      <c r="T9" s="83" t="e">
        <f>COUNTIFS('SPC-CPN_Q&amp;A'!#REF!,M$1,'SPC-CPN_Q&amp;A'!#REF!,'Writing assignments'!$C9,'SPC-CPN_Q&amp;A'!$O:$O,"Recall")</f>
        <v>#REF!</v>
      </c>
      <c r="U9" s="83" t="e">
        <f>COUNTIFS('SPC-CPN_Q&amp;A'!#REF!,M$1,'SPC-CPN_Q&amp;A'!#REF!,'Writing assignments'!$C9,'SPC-CPN_Q&amp;A'!$O:$O,"Application")</f>
        <v>#REF!</v>
      </c>
      <c r="V9" s="84" t="e">
        <f>COUNTIFS('SPC-CPN_Q&amp;A'!#REF!,M$1,'SPC-CPN_Q&amp;A'!#REF!,'Writing assignments'!$C9,'SPC-CPN_Q&amp;A'!$O:$O,"Analysis")</f>
        <v>#REF!</v>
      </c>
      <c r="W9" s="83" t="s">
        <v>71</v>
      </c>
      <c r="X9" s="83">
        <v>4</v>
      </c>
      <c r="Y9" s="83">
        <v>1</v>
      </c>
      <c r="Z9" s="83">
        <v>2</v>
      </c>
      <c r="AA9" s="84">
        <v>1</v>
      </c>
      <c r="AC9" s="83" t="e">
        <f t="shared" si="5"/>
        <v>#REF!</v>
      </c>
      <c r="AD9" s="83" t="e">
        <f>COUNTIFS('SPC-CPN_Q&amp;A'!#REF!,W$1,'SPC-CPN_Q&amp;A'!#REF!,'Writing assignments'!$C9,'SPC-CPN_Q&amp;A'!$O:$O,"Recall")</f>
        <v>#REF!</v>
      </c>
      <c r="AE9" s="83" t="e">
        <f>COUNTIFS('SPC-CPN_Q&amp;A'!#REF!,W$1,'SPC-CPN_Q&amp;A'!#REF!,'Writing assignments'!$C9,'SPC-CPN_Q&amp;A'!$O:$O,"Application")</f>
        <v>#REF!</v>
      </c>
      <c r="AF9" s="83" t="e">
        <f>COUNTIFS('SPC-CPN_Q&amp;A'!#REF!,W$1,'SPC-CPN_Q&amp;A'!#REF!,'Writing assignments'!$C9,'SPC-CPN_Q&amp;A'!$O:$O,"Analysis")</f>
        <v>#REF!</v>
      </c>
      <c r="AG9" s="82" t="s">
        <v>71</v>
      </c>
      <c r="AH9" s="83">
        <v>3</v>
      </c>
      <c r="AI9" s="83">
        <v>0</v>
      </c>
      <c r="AJ9" s="83">
        <v>2</v>
      </c>
      <c r="AK9" s="84">
        <v>1</v>
      </c>
      <c r="AM9" s="83" t="e">
        <f t="shared" si="6"/>
        <v>#REF!</v>
      </c>
      <c r="AN9" s="83" t="e">
        <f>COUNTIFS('SPC-CPN_Q&amp;A'!#REF!,AG$1,'SPC-CPN_Q&amp;A'!#REF!,'Writing assignments'!$C9,'SPC-CPN_Q&amp;A'!$O:$O,"Recall")</f>
        <v>#REF!</v>
      </c>
      <c r="AO9" s="83" t="e">
        <f>COUNTIFS('SPC-CPN_Q&amp;A'!#REF!,AG$1,'SPC-CPN_Q&amp;A'!#REF!,'Writing assignments'!$C9,'SPC-CPN_Q&amp;A'!$O:$O,"Application")</f>
        <v>#REF!</v>
      </c>
      <c r="AP9" s="83" t="e">
        <f>COUNTIFS('SPC-CPN_Q&amp;A'!#REF!,AG$1,'SPC-CPN_Q&amp;A'!#REF!,'Writing assignments'!$C9,'SPC-CPN_Q&amp;A'!$O:$O,"Analysis")</f>
        <v>#REF!</v>
      </c>
      <c r="AQ9" s="82"/>
      <c r="AU9" s="84"/>
      <c r="BB9" s="83" t="e">
        <f t="shared" si="7"/>
        <v>#REF!</v>
      </c>
      <c r="BC9" s="83" t="e">
        <f>COUNTIFS('SPC-CPN_Q&amp;A'!#REF!,AV$1,'SPC-CPN_Q&amp;A'!#REF!,'Writing assignments'!$C9,'SPC-CPN_Q&amp;A'!$O:$O,"Recall")</f>
        <v>#REF!</v>
      </c>
      <c r="BD9" s="83" t="e">
        <f>COUNTIFS('SPC-CPN_Q&amp;A'!#REF!,AV$1,'SPC-CPN_Q&amp;A'!#REF!,'Writing assignments'!$C9,'SPC-CPN_Q&amp;A'!$O:$O,"Application")</f>
        <v>#REF!</v>
      </c>
      <c r="BE9" s="83" t="e">
        <f>COUNTIFS('SPC-CPN_Q&amp;A'!#REF!,AV$1,'SPC-CPN_Q&amp;A'!#REF!,'Writing assignments'!$C9,'SPC-CPN_Q&amp;A'!$O:$O,"Analysis")</f>
        <v>#REF!</v>
      </c>
      <c r="BF9" s="82"/>
      <c r="BJ9" s="84"/>
      <c r="BL9" s="83" t="e">
        <f t="shared" si="8"/>
        <v>#REF!</v>
      </c>
      <c r="BM9" s="83" t="e">
        <f>COUNTIFS('SPC-CPN_Q&amp;A'!#REF!,BF$1,'SPC-CPN_Q&amp;A'!#REF!,'Writing assignments'!$C9,'SPC-CPN_Q&amp;A'!$O:$O,"Recall")</f>
        <v>#REF!</v>
      </c>
      <c r="BN9" s="83" t="e">
        <f>COUNTIFS('SPC-CPN_Q&amp;A'!#REF!,BF$1,'SPC-CPN_Q&amp;A'!#REF!,'Writing assignments'!$C9,'SPC-CPN_Q&amp;A'!$O:$O,"Application")</f>
        <v>#REF!</v>
      </c>
      <c r="BO9" s="83" t="e">
        <f>COUNTIFS('SPC-CPN_Q&amp;A'!#REF!,BF$1,'SPC-CPN_Q&amp;A'!#REF!,'Writing assignments'!$C9,'SPC-CPN_Q&amp;A'!$O:$O,"Analysis")</f>
        <v>#REF!</v>
      </c>
      <c r="BP9" s="82" t="s">
        <v>71</v>
      </c>
      <c r="BQ9" s="83">
        <v>3</v>
      </c>
      <c r="BR9" s="83">
        <v>0</v>
      </c>
      <c r="BS9" s="83">
        <v>2</v>
      </c>
      <c r="BT9" s="84">
        <v>1</v>
      </c>
      <c r="BV9" s="83" t="e">
        <f t="shared" si="9"/>
        <v>#REF!</v>
      </c>
      <c r="BW9" s="83" t="e">
        <f>COUNTIFS('SPC-CPN_Q&amp;A'!#REF!,BP$1,'SPC-CPN_Q&amp;A'!#REF!,'Writing assignments'!$C9,'SPC-CPN_Q&amp;A'!$O:$O,"Recall")</f>
        <v>#REF!</v>
      </c>
      <c r="BX9" s="83" t="e">
        <f>COUNTIFS('SPC-CPN_Q&amp;A'!#REF!,BP$1,'SPC-CPN_Q&amp;A'!#REF!,'Writing assignments'!$C9,'SPC-CPN_Q&amp;A'!$O:$O,"Application")</f>
        <v>#REF!</v>
      </c>
      <c r="BY9" s="83" t="e">
        <f>COUNTIFS('SPC-CPN_Q&amp;A'!#REF!,BP$1,'SPC-CPN_Q&amp;A'!#REF!,'Writing assignments'!$C9,'SPC-CPN_Q&amp;A'!$O:$O,"Analysis")</f>
        <v>#REF!</v>
      </c>
      <c r="CA9" s="83">
        <v>0</v>
      </c>
    </row>
    <row r="10" spans="2:79" x14ac:dyDescent="0.25">
      <c r="B10" s="74" t="s">
        <v>3573</v>
      </c>
      <c r="C10" s="74" t="s">
        <v>3579</v>
      </c>
      <c r="D10" s="6"/>
      <c r="E10" s="6">
        <v>1</v>
      </c>
      <c r="F10" s="6">
        <v>6</v>
      </c>
      <c r="G10" s="6">
        <v>3</v>
      </c>
      <c r="H10" s="6">
        <f t="shared" si="2"/>
        <v>10</v>
      </c>
      <c r="J10" s="42">
        <f t="shared" si="1"/>
        <v>0</v>
      </c>
      <c r="K10" s="82" t="s">
        <v>71</v>
      </c>
      <c r="L10" s="84">
        <v>1</v>
      </c>
      <c r="M10" s="82"/>
      <c r="N10" s="83">
        <f t="shared" si="3"/>
        <v>0</v>
      </c>
      <c r="S10" s="83" t="e">
        <f t="shared" si="4"/>
        <v>#REF!</v>
      </c>
      <c r="T10" s="83" t="e">
        <f>COUNTIFS('SPC-CPN_Q&amp;A'!#REF!,M$1,'SPC-CPN_Q&amp;A'!#REF!,'Writing assignments'!$C10,'SPC-CPN_Q&amp;A'!$O:$O,"Recall")</f>
        <v>#REF!</v>
      </c>
      <c r="U10" s="83" t="e">
        <f>COUNTIFS('SPC-CPN_Q&amp;A'!#REF!,M$1,'SPC-CPN_Q&amp;A'!#REF!,'Writing assignments'!$C10,'SPC-CPN_Q&amp;A'!$O:$O,"Application")</f>
        <v>#REF!</v>
      </c>
      <c r="V10" s="84" t="e">
        <f>COUNTIFS('SPC-CPN_Q&amp;A'!#REF!,M$1,'SPC-CPN_Q&amp;A'!#REF!,'Writing assignments'!$C10,'SPC-CPN_Q&amp;A'!$O:$O,"Analysis")</f>
        <v>#REF!</v>
      </c>
      <c r="W10" s="83" t="s">
        <v>71</v>
      </c>
      <c r="X10" s="83">
        <v>3</v>
      </c>
      <c r="Y10" s="83">
        <v>0</v>
      </c>
      <c r="Z10" s="83">
        <v>2</v>
      </c>
      <c r="AA10" s="84">
        <v>1</v>
      </c>
      <c r="AC10" s="83" t="e">
        <f t="shared" si="5"/>
        <v>#REF!</v>
      </c>
      <c r="AD10" s="83" t="e">
        <f>COUNTIFS('SPC-CPN_Q&amp;A'!#REF!,W$1,'SPC-CPN_Q&amp;A'!#REF!,'Writing assignments'!$C10,'SPC-CPN_Q&amp;A'!$O:$O,"Recall")</f>
        <v>#REF!</v>
      </c>
      <c r="AE10" s="83" t="e">
        <f>COUNTIFS('SPC-CPN_Q&amp;A'!#REF!,W$1,'SPC-CPN_Q&amp;A'!#REF!,'Writing assignments'!$C10,'SPC-CPN_Q&amp;A'!$O:$O,"Application")</f>
        <v>#REF!</v>
      </c>
      <c r="AF10" s="83" t="e">
        <f>COUNTIFS('SPC-CPN_Q&amp;A'!#REF!,W$1,'SPC-CPN_Q&amp;A'!#REF!,'Writing assignments'!$C10,'SPC-CPN_Q&amp;A'!$O:$O,"Analysis")</f>
        <v>#REF!</v>
      </c>
      <c r="AG10" s="82"/>
      <c r="AK10" s="84"/>
      <c r="AM10" s="83" t="e">
        <f t="shared" si="6"/>
        <v>#REF!</v>
      </c>
      <c r="AN10" s="83" t="e">
        <f>COUNTIFS('SPC-CPN_Q&amp;A'!#REF!,AG$1,'SPC-CPN_Q&amp;A'!#REF!,'Writing assignments'!$C10,'SPC-CPN_Q&amp;A'!$O:$O,"Recall")</f>
        <v>#REF!</v>
      </c>
      <c r="AO10" s="83" t="e">
        <f>COUNTIFS('SPC-CPN_Q&amp;A'!#REF!,AG$1,'SPC-CPN_Q&amp;A'!#REF!,'Writing assignments'!$C10,'SPC-CPN_Q&amp;A'!$O:$O,"Application")</f>
        <v>#REF!</v>
      </c>
      <c r="AP10" s="83" t="e">
        <f>COUNTIFS('SPC-CPN_Q&amp;A'!#REF!,AG$1,'SPC-CPN_Q&amp;A'!#REF!,'Writing assignments'!$C10,'SPC-CPN_Q&amp;A'!$O:$O,"Analysis")</f>
        <v>#REF!</v>
      </c>
      <c r="AQ10" s="82"/>
      <c r="AU10" s="84"/>
      <c r="BB10" s="83" t="e">
        <f t="shared" si="7"/>
        <v>#REF!</v>
      </c>
      <c r="BC10" s="83" t="e">
        <f>COUNTIFS('SPC-CPN_Q&amp;A'!#REF!,AV$1,'SPC-CPN_Q&amp;A'!#REF!,'Writing assignments'!$C10,'SPC-CPN_Q&amp;A'!$O:$O,"Recall")</f>
        <v>#REF!</v>
      </c>
      <c r="BD10" s="83" t="e">
        <f>COUNTIFS('SPC-CPN_Q&amp;A'!#REF!,AV$1,'SPC-CPN_Q&amp;A'!#REF!,'Writing assignments'!$C10,'SPC-CPN_Q&amp;A'!$O:$O,"Application")</f>
        <v>#REF!</v>
      </c>
      <c r="BE10" s="83" t="e">
        <f>COUNTIFS('SPC-CPN_Q&amp;A'!#REF!,AV$1,'SPC-CPN_Q&amp;A'!#REF!,'Writing assignments'!$C10,'SPC-CPN_Q&amp;A'!$O:$O,"Analysis")</f>
        <v>#REF!</v>
      </c>
      <c r="BF10" s="82" t="s">
        <v>71</v>
      </c>
      <c r="BG10" s="83">
        <v>3</v>
      </c>
      <c r="BH10" s="83">
        <v>0</v>
      </c>
      <c r="BI10" s="83">
        <v>2</v>
      </c>
      <c r="BJ10" s="84">
        <v>1</v>
      </c>
      <c r="BL10" s="83" t="e">
        <f t="shared" si="8"/>
        <v>#REF!</v>
      </c>
      <c r="BM10" s="83" t="e">
        <f>COUNTIFS('SPC-CPN_Q&amp;A'!#REF!,BF$1,'SPC-CPN_Q&amp;A'!#REF!,'Writing assignments'!$C10,'SPC-CPN_Q&amp;A'!$O:$O,"Recall")</f>
        <v>#REF!</v>
      </c>
      <c r="BN10" s="83" t="e">
        <f>COUNTIFS('SPC-CPN_Q&amp;A'!#REF!,BF$1,'SPC-CPN_Q&amp;A'!#REF!,'Writing assignments'!$C10,'SPC-CPN_Q&amp;A'!$O:$O,"Application")</f>
        <v>#REF!</v>
      </c>
      <c r="BO10" s="83" t="e">
        <f>COUNTIFS('SPC-CPN_Q&amp;A'!#REF!,BF$1,'SPC-CPN_Q&amp;A'!#REF!,'Writing assignments'!$C10,'SPC-CPN_Q&amp;A'!$O:$O,"Analysis")</f>
        <v>#REF!</v>
      </c>
      <c r="BP10" s="82" t="s">
        <v>71</v>
      </c>
      <c r="BQ10" s="83">
        <v>3</v>
      </c>
      <c r="BR10" s="83">
        <v>1</v>
      </c>
      <c r="BS10" s="83">
        <v>1</v>
      </c>
      <c r="BT10" s="84">
        <v>1</v>
      </c>
      <c r="BV10" s="83" t="e">
        <f t="shared" si="9"/>
        <v>#REF!</v>
      </c>
      <c r="BW10" s="83" t="e">
        <f>COUNTIFS('SPC-CPN_Q&amp;A'!#REF!,BP$1,'SPC-CPN_Q&amp;A'!#REF!,'Writing assignments'!$C10,'SPC-CPN_Q&amp;A'!$O:$O,"Recall")</f>
        <v>#REF!</v>
      </c>
      <c r="BX10" s="83" t="e">
        <f>COUNTIFS('SPC-CPN_Q&amp;A'!#REF!,BP$1,'SPC-CPN_Q&amp;A'!#REF!,'Writing assignments'!$C10,'SPC-CPN_Q&amp;A'!$O:$O,"Application")</f>
        <v>#REF!</v>
      </c>
      <c r="BY10" s="83" t="e">
        <f>COUNTIFS('SPC-CPN_Q&amp;A'!#REF!,BP$1,'SPC-CPN_Q&amp;A'!#REF!,'Writing assignments'!$C10,'SPC-CPN_Q&amp;A'!$O:$O,"Analysis")</f>
        <v>#REF!</v>
      </c>
      <c r="CA10" s="83">
        <v>0</v>
      </c>
    </row>
    <row r="11" spans="2:79" x14ac:dyDescent="0.25">
      <c r="B11" s="74" t="s">
        <v>3573</v>
      </c>
      <c r="C11" s="74" t="s">
        <v>3580</v>
      </c>
      <c r="D11" s="6"/>
      <c r="E11" s="6">
        <v>1</v>
      </c>
      <c r="F11" s="6">
        <v>6</v>
      </c>
      <c r="G11" s="6">
        <v>3</v>
      </c>
      <c r="H11" s="6">
        <f t="shared" si="2"/>
        <v>10</v>
      </c>
      <c r="J11" s="42">
        <f t="shared" si="1"/>
        <v>0</v>
      </c>
      <c r="K11" s="82"/>
      <c r="L11" s="84">
        <v>0</v>
      </c>
      <c r="M11" s="82" t="s">
        <v>71</v>
      </c>
      <c r="N11" s="83">
        <f t="shared" si="3"/>
        <v>4</v>
      </c>
      <c r="P11" s="83">
        <v>3</v>
      </c>
      <c r="Q11" s="83">
        <v>1</v>
      </c>
      <c r="S11" s="83" t="e">
        <f t="shared" si="4"/>
        <v>#REF!</v>
      </c>
      <c r="T11" s="83" t="e">
        <f>COUNTIFS('SPC-CPN_Q&amp;A'!#REF!,M$1,'SPC-CPN_Q&amp;A'!#REF!,'Writing assignments'!$C11,'SPC-CPN_Q&amp;A'!$O:$O,"Recall")</f>
        <v>#REF!</v>
      </c>
      <c r="U11" s="83" t="e">
        <f>COUNTIFS('SPC-CPN_Q&amp;A'!#REF!,M$1,'SPC-CPN_Q&amp;A'!#REF!,'Writing assignments'!$C11,'SPC-CPN_Q&amp;A'!$O:$O,"Application")</f>
        <v>#REF!</v>
      </c>
      <c r="V11" s="84" t="e">
        <f>COUNTIFS('SPC-CPN_Q&amp;A'!#REF!,M$1,'SPC-CPN_Q&amp;A'!#REF!,'Writing assignments'!$C11,'SPC-CPN_Q&amp;A'!$O:$O,"Analysis")</f>
        <v>#REF!</v>
      </c>
      <c r="AA11" s="84"/>
      <c r="AC11" s="83" t="e">
        <f t="shared" si="5"/>
        <v>#REF!</v>
      </c>
      <c r="AD11" s="83" t="e">
        <f>COUNTIFS('SPC-CPN_Q&amp;A'!#REF!,W$1,'SPC-CPN_Q&amp;A'!#REF!,'Writing assignments'!$C11,'SPC-CPN_Q&amp;A'!$O:$O,"Recall")</f>
        <v>#REF!</v>
      </c>
      <c r="AE11" s="83" t="e">
        <f>COUNTIFS('SPC-CPN_Q&amp;A'!#REF!,W$1,'SPC-CPN_Q&amp;A'!#REF!,'Writing assignments'!$C11,'SPC-CPN_Q&amp;A'!$O:$O,"Application")</f>
        <v>#REF!</v>
      </c>
      <c r="AF11" s="83" t="e">
        <f>COUNTIFS('SPC-CPN_Q&amp;A'!#REF!,W$1,'SPC-CPN_Q&amp;A'!#REF!,'Writing assignments'!$C11,'SPC-CPN_Q&amp;A'!$O:$O,"Analysis")</f>
        <v>#REF!</v>
      </c>
      <c r="AG11" s="82"/>
      <c r="AK11" s="84"/>
      <c r="AM11" s="83" t="e">
        <f t="shared" si="6"/>
        <v>#REF!</v>
      </c>
      <c r="AN11" s="83" t="e">
        <f>COUNTIFS('SPC-CPN_Q&amp;A'!#REF!,AG$1,'SPC-CPN_Q&amp;A'!#REF!,'Writing assignments'!$C11,'SPC-CPN_Q&amp;A'!$O:$O,"Recall")</f>
        <v>#REF!</v>
      </c>
      <c r="AO11" s="83" t="e">
        <f>COUNTIFS('SPC-CPN_Q&amp;A'!#REF!,AG$1,'SPC-CPN_Q&amp;A'!#REF!,'Writing assignments'!$C11,'SPC-CPN_Q&amp;A'!$O:$O,"Application")</f>
        <v>#REF!</v>
      </c>
      <c r="AP11" s="83" t="e">
        <f>COUNTIFS('SPC-CPN_Q&amp;A'!#REF!,AG$1,'SPC-CPN_Q&amp;A'!#REF!,'Writing assignments'!$C11,'SPC-CPN_Q&amp;A'!$O:$O,"Analysis")</f>
        <v>#REF!</v>
      </c>
      <c r="AQ11" s="82" t="s">
        <v>71</v>
      </c>
      <c r="AR11" s="83">
        <v>3</v>
      </c>
      <c r="AS11" s="83">
        <v>1</v>
      </c>
      <c r="AT11" s="83">
        <v>1</v>
      </c>
      <c r="AU11" s="84">
        <v>1</v>
      </c>
      <c r="BB11" s="83" t="e">
        <f t="shared" si="7"/>
        <v>#REF!</v>
      </c>
      <c r="BC11" s="83" t="e">
        <f>COUNTIFS('SPC-CPN_Q&amp;A'!#REF!,AV$1,'SPC-CPN_Q&amp;A'!#REF!,'Writing assignments'!$C11,'SPC-CPN_Q&amp;A'!$O:$O,"Recall")</f>
        <v>#REF!</v>
      </c>
      <c r="BD11" s="83" t="e">
        <f>COUNTIFS('SPC-CPN_Q&amp;A'!#REF!,AV$1,'SPC-CPN_Q&amp;A'!#REF!,'Writing assignments'!$C11,'SPC-CPN_Q&amp;A'!$O:$O,"Application")</f>
        <v>#REF!</v>
      </c>
      <c r="BE11" s="83" t="e">
        <f>COUNTIFS('SPC-CPN_Q&amp;A'!#REF!,AV$1,'SPC-CPN_Q&amp;A'!#REF!,'Writing assignments'!$C11,'SPC-CPN_Q&amp;A'!$O:$O,"Analysis")</f>
        <v>#REF!</v>
      </c>
      <c r="BF11" s="82" t="s">
        <v>71</v>
      </c>
      <c r="BG11" s="83">
        <v>3</v>
      </c>
      <c r="BH11" s="83">
        <v>0</v>
      </c>
      <c r="BI11" s="83">
        <v>2</v>
      </c>
      <c r="BJ11" s="84">
        <v>1</v>
      </c>
      <c r="BL11" s="83" t="e">
        <f t="shared" si="8"/>
        <v>#REF!</v>
      </c>
      <c r="BM11" s="83" t="e">
        <f>COUNTIFS('SPC-CPN_Q&amp;A'!#REF!,BF$1,'SPC-CPN_Q&amp;A'!#REF!,'Writing assignments'!$C11,'SPC-CPN_Q&amp;A'!$O:$O,"Recall")</f>
        <v>#REF!</v>
      </c>
      <c r="BN11" s="83" t="e">
        <f>COUNTIFS('SPC-CPN_Q&amp;A'!#REF!,BF$1,'SPC-CPN_Q&amp;A'!#REF!,'Writing assignments'!$C11,'SPC-CPN_Q&amp;A'!$O:$O,"Application")</f>
        <v>#REF!</v>
      </c>
      <c r="BO11" s="83" t="e">
        <f>COUNTIFS('SPC-CPN_Q&amp;A'!#REF!,BF$1,'SPC-CPN_Q&amp;A'!#REF!,'Writing assignments'!$C11,'SPC-CPN_Q&amp;A'!$O:$O,"Analysis")</f>
        <v>#REF!</v>
      </c>
      <c r="BP11" s="82" t="s">
        <v>71</v>
      </c>
      <c r="BQ11" s="83">
        <v>3</v>
      </c>
      <c r="BR11" s="83">
        <v>0</v>
      </c>
      <c r="BS11" s="83">
        <v>2</v>
      </c>
      <c r="BT11" s="84">
        <v>1</v>
      </c>
      <c r="BV11" s="83" t="e">
        <f t="shared" si="9"/>
        <v>#REF!</v>
      </c>
      <c r="BW11" s="83" t="e">
        <f>COUNTIFS('SPC-CPN_Q&amp;A'!#REF!,BP$1,'SPC-CPN_Q&amp;A'!#REF!,'Writing assignments'!$C11,'SPC-CPN_Q&amp;A'!$O:$O,"Recall")</f>
        <v>#REF!</v>
      </c>
      <c r="BX11" s="83" t="e">
        <f>COUNTIFS('SPC-CPN_Q&amp;A'!#REF!,BP$1,'SPC-CPN_Q&amp;A'!#REF!,'Writing assignments'!$C11,'SPC-CPN_Q&amp;A'!$O:$O,"Application")</f>
        <v>#REF!</v>
      </c>
      <c r="BY11" s="83" t="e">
        <f>COUNTIFS('SPC-CPN_Q&amp;A'!#REF!,BP$1,'SPC-CPN_Q&amp;A'!#REF!,'Writing assignments'!$C11,'SPC-CPN_Q&amp;A'!$O:$O,"Analysis")</f>
        <v>#REF!</v>
      </c>
      <c r="CA11" s="83">
        <v>0</v>
      </c>
    </row>
    <row r="12" spans="2:79" x14ac:dyDescent="0.25">
      <c r="B12" s="74" t="s">
        <v>3573</v>
      </c>
      <c r="C12" s="74" t="s">
        <v>3581</v>
      </c>
      <c r="D12" s="6"/>
      <c r="E12" s="6">
        <v>1</v>
      </c>
      <c r="F12" s="6">
        <v>6</v>
      </c>
      <c r="G12" s="6">
        <v>3</v>
      </c>
      <c r="H12" s="6">
        <f t="shared" si="2"/>
        <v>10</v>
      </c>
      <c r="J12" s="42">
        <f t="shared" si="1"/>
        <v>0</v>
      </c>
      <c r="K12" s="82"/>
      <c r="L12" s="84">
        <v>0</v>
      </c>
      <c r="M12" s="82" t="s">
        <v>71</v>
      </c>
      <c r="N12" s="83">
        <f t="shared" si="3"/>
        <v>1</v>
      </c>
      <c r="P12" s="83">
        <v>1</v>
      </c>
      <c r="S12" s="83" t="e">
        <f t="shared" si="4"/>
        <v>#REF!</v>
      </c>
      <c r="T12" s="83" t="e">
        <f>COUNTIFS('SPC-CPN_Q&amp;A'!#REF!,M$1,'SPC-CPN_Q&amp;A'!#REF!,'Writing assignments'!$C12,'SPC-CPN_Q&amp;A'!$O:$O,"Recall")</f>
        <v>#REF!</v>
      </c>
      <c r="U12" s="83" t="e">
        <f>COUNTIFS('SPC-CPN_Q&amp;A'!#REF!,M$1,'SPC-CPN_Q&amp;A'!#REF!,'Writing assignments'!$C12,'SPC-CPN_Q&amp;A'!$O:$O,"Application")</f>
        <v>#REF!</v>
      </c>
      <c r="V12" s="84" t="e">
        <f>COUNTIFS('SPC-CPN_Q&amp;A'!#REF!,M$1,'SPC-CPN_Q&amp;A'!#REF!,'Writing assignments'!$C12,'SPC-CPN_Q&amp;A'!$O:$O,"Analysis")</f>
        <v>#REF!</v>
      </c>
      <c r="W12" s="83" t="s">
        <v>71</v>
      </c>
      <c r="X12" s="83">
        <v>3</v>
      </c>
      <c r="Y12" s="83">
        <v>0</v>
      </c>
      <c r="Z12" s="83">
        <v>2</v>
      </c>
      <c r="AA12" s="84">
        <v>1</v>
      </c>
      <c r="AC12" s="83" t="e">
        <f t="shared" si="5"/>
        <v>#REF!</v>
      </c>
      <c r="AD12" s="83" t="e">
        <f>COUNTIFS('SPC-CPN_Q&amp;A'!#REF!,W$1,'SPC-CPN_Q&amp;A'!#REF!,'Writing assignments'!$C12,'SPC-CPN_Q&amp;A'!$O:$O,"Recall")</f>
        <v>#REF!</v>
      </c>
      <c r="AE12" s="83" t="e">
        <f>COUNTIFS('SPC-CPN_Q&amp;A'!#REF!,W$1,'SPC-CPN_Q&amp;A'!#REF!,'Writing assignments'!$C12,'SPC-CPN_Q&amp;A'!$O:$O,"Application")</f>
        <v>#REF!</v>
      </c>
      <c r="AF12" s="83" t="e">
        <f>COUNTIFS('SPC-CPN_Q&amp;A'!#REF!,W$1,'SPC-CPN_Q&amp;A'!#REF!,'Writing assignments'!$C12,'SPC-CPN_Q&amp;A'!$O:$O,"Analysis")</f>
        <v>#REF!</v>
      </c>
      <c r="AG12" s="82" t="s">
        <v>71</v>
      </c>
      <c r="AH12" s="83">
        <v>3</v>
      </c>
      <c r="AI12" s="83">
        <v>0</v>
      </c>
      <c r="AJ12" s="83">
        <v>2</v>
      </c>
      <c r="AK12" s="84">
        <v>1</v>
      </c>
      <c r="AM12" s="83" t="e">
        <f t="shared" si="6"/>
        <v>#REF!</v>
      </c>
      <c r="AN12" s="83" t="e">
        <f>COUNTIFS('SPC-CPN_Q&amp;A'!#REF!,AG$1,'SPC-CPN_Q&amp;A'!#REF!,'Writing assignments'!$C12,'SPC-CPN_Q&amp;A'!$O:$O,"Recall")</f>
        <v>#REF!</v>
      </c>
      <c r="AO12" s="83" t="e">
        <f>COUNTIFS('SPC-CPN_Q&amp;A'!#REF!,AG$1,'SPC-CPN_Q&amp;A'!#REF!,'Writing assignments'!$C12,'SPC-CPN_Q&amp;A'!$O:$O,"Application")</f>
        <v>#REF!</v>
      </c>
      <c r="AP12" s="83" t="e">
        <f>COUNTIFS('SPC-CPN_Q&amp;A'!#REF!,AG$1,'SPC-CPN_Q&amp;A'!#REF!,'Writing assignments'!$C12,'SPC-CPN_Q&amp;A'!$O:$O,"Analysis")</f>
        <v>#REF!</v>
      </c>
      <c r="AQ12" s="82"/>
      <c r="AU12" s="84"/>
      <c r="BB12" s="83" t="e">
        <f t="shared" si="7"/>
        <v>#REF!</v>
      </c>
      <c r="BC12" s="83" t="e">
        <f>COUNTIFS('SPC-CPN_Q&amp;A'!#REF!,AV$1,'SPC-CPN_Q&amp;A'!#REF!,'Writing assignments'!$C12,'SPC-CPN_Q&amp;A'!$O:$O,"Recall")</f>
        <v>#REF!</v>
      </c>
      <c r="BD12" s="83" t="e">
        <f>COUNTIFS('SPC-CPN_Q&amp;A'!#REF!,AV$1,'SPC-CPN_Q&amp;A'!#REF!,'Writing assignments'!$C12,'SPC-CPN_Q&amp;A'!$O:$O,"Application")</f>
        <v>#REF!</v>
      </c>
      <c r="BE12" s="83" t="e">
        <f>COUNTIFS('SPC-CPN_Q&amp;A'!#REF!,AV$1,'SPC-CPN_Q&amp;A'!#REF!,'Writing assignments'!$C12,'SPC-CPN_Q&amp;A'!$O:$O,"Analysis")</f>
        <v>#REF!</v>
      </c>
      <c r="BF12" s="82"/>
      <c r="BJ12" s="84"/>
      <c r="BL12" s="83" t="e">
        <f t="shared" si="8"/>
        <v>#REF!</v>
      </c>
      <c r="BM12" s="83" t="e">
        <f>COUNTIFS('SPC-CPN_Q&amp;A'!#REF!,BF$1,'SPC-CPN_Q&amp;A'!#REF!,'Writing assignments'!$C12,'SPC-CPN_Q&amp;A'!$O:$O,"Recall")</f>
        <v>#REF!</v>
      </c>
      <c r="BN12" s="83" t="e">
        <f>COUNTIFS('SPC-CPN_Q&amp;A'!#REF!,BF$1,'SPC-CPN_Q&amp;A'!#REF!,'Writing assignments'!$C12,'SPC-CPN_Q&amp;A'!$O:$O,"Application")</f>
        <v>#REF!</v>
      </c>
      <c r="BO12" s="83" t="e">
        <f>COUNTIFS('SPC-CPN_Q&amp;A'!#REF!,BF$1,'SPC-CPN_Q&amp;A'!#REF!,'Writing assignments'!$C12,'SPC-CPN_Q&amp;A'!$O:$O,"Analysis")</f>
        <v>#REF!</v>
      </c>
      <c r="BP12" s="82" t="s">
        <v>71</v>
      </c>
      <c r="BQ12" s="83">
        <v>3</v>
      </c>
      <c r="BR12" s="83">
        <v>1</v>
      </c>
      <c r="BS12" s="83">
        <v>1</v>
      </c>
      <c r="BT12" s="84">
        <v>1</v>
      </c>
      <c r="BV12" s="83" t="e">
        <f t="shared" si="9"/>
        <v>#REF!</v>
      </c>
      <c r="BW12" s="83" t="e">
        <f>COUNTIFS('SPC-CPN_Q&amp;A'!#REF!,BP$1,'SPC-CPN_Q&amp;A'!#REF!,'Writing assignments'!$C12,'SPC-CPN_Q&amp;A'!$O:$O,"Recall")</f>
        <v>#REF!</v>
      </c>
      <c r="BX12" s="83" t="e">
        <f>COUNTIFS('SPC-CPN_Q&amp;A'!#REF!,BP$1,'SPC-CPN_Q&amp;A'!#REF!,'Writing assignments'!$C12,'SPC-CPN_Q&amp;A'!$O:$O,"Application")</f>
        <v>#REF!</v>
      </c>
      <c r="BY12" s="83" t="e">
        <f>COUNTIFS('SPC-CPN_Q&amp;A'!#REF!,BP$1,'SPC-CPN_Q&amp;A'!#REF!,'Writing assignments'!$C12,'SPC-CPN_Q&amp;A'!$O:$O,"Analysis")</f>
        <v>#REF!</v>
      </c>
      <c r="CA12" s="83">
        <v>0</v>
      </c>
    </row>
    <row r="13" spans="2:79" x14ac:dyDescent="0.25">
      <c r="B13" s="74" t="s">
        <v>3573</v>
      </c>
      <c r="C13" s="74" t="s">
        <v>3582</v>
      </c>
      <c r="D13" s="6"/>
      <c r="E13" s="6">
        <v>1</v>
      </c>
      <c r="F13" s="6">
        <v>6</v>
      </c>
      <c r="G13" s="6">
        <v>3</v>
      </c>
      <c r="H13" s="6">
        <f t="shared" si="2"/>
        <v>10</v>
      </c>
      <c r="J13" s="42">
        <f t="shared" si="1"/>
        <v>0</v>
      </c>
      <c r="K13" s="82" t="s">
        <v>71</v>
      </c>
      <c r="L13" s="84">
        <v>1</v>
      </c>
      <c r="M13" s="82"/>
      <c r="N13" s="83">
        <f t="shared" si="3"/>
        <v>0</v>
      </c>
      <c r="Q13" s="84"/>
      <c r="S13" s="83" t="e">
        <f t="shared" si="4"/>
        <v>#REF!</v>
      </c>
      <c r="T13" s="83" t="e">
        <f>COUNTIFS('SPC-CPN_Q&amp;A'!#REF!,M$1,'SPC-CPN_Q&amp;A'!#REF!,'Writing assignments'!$C13,'SPC-CPN_Q&amp;A'!$O:$O,"Recall")</f>
        <v>#REF!</v>
      </c>
      <c r="U13" s="83" t="e">
        <f>COUNTIFS('SPC-CPN_Q&amp;A'!#REF!,M$1,'SPC-CPN_Q&amp;A'!#REF!,'Writing assignments'!$C13,'SPC-CPN_Q&amp;A'!$O:$O,"Application")</f>
        <v>#REF!</v>
      </c>
      <c r="V13" s="84" t="e">
        <f>COUNTIFS('SPC-CPN_Q&amp;A'!#REF!,M$1,'SPC-CPN_Q&amp;A'!#REF!,'Writing assignments'!$C13,'SPC-CPN_Q&amp;A'!$O:$O,"Analysis")</f>
        <v>#REF!</v>
      </c>
      <c r="AA13" s="84"/>
      <c r="AC13" s="83" t="e">
        <f t="shared" si="5"/>
        <v>#REF!</v>
      </c>
      <c r="AD13" s="83" t="e">
        <f>COUNTIFS('SPC-CPN_Q&amp;A'!#REF!,W$1,'SPC-CPN_Q&amp;A'!#REF!,'Writing assignments'!$C13,'SPC-CPN_Q&amp;A'!$O:$O,"Recall")</f>
        <v>#REF!</v>
      </c>
      <c r="AE13" s="83" t="e">
        <f>COUNTIFS('SPC-CPN_Q&amp;A'!#REF!,W$1,'SPC-CPN_Q&amp;A'!#REF!,'Writing assignments'!$C13,'SPC-CPN_Q&amp;A'!$O:$O,"Application")</f>
        <v>#REF!</v>
      </c>
      <c r="AF13" s="83" t="e">
        <f>COUNTIFS('SPC-CPN_Q&amp;A'!#REF!,W$1,'SPC-CPN_Q&amp;A'!#REF!,'Writing assignments'!$C13,'SPC-CPN_Q&amp;A'!$O:$O,"Analysis")</f>
        <v>#REF!</v>
      </c>
      <c r="AG13" s="82"/>
      <c r="AK13" s="84"/>
      <c r="AM13" s="83" t="e">
        <f t="shared" si="6"/>
        <v>#REF!</v>
      </c>
      <c r="AN13" s="83" t="e">
        <f>COUNTIFS('SPC-CPN_Q&amp;A'!#REF!,AG$1,'SPC-CPN_Q&amp;A'!#REF!,'Writing assignments'!$C13,'SPC-CPN_Q&amp;A'!$O:$O,"Recall")</f>
        <v>#REF!</v>
      </c>
      <c r="AO13" s="83" t="e">
        <f>COUNTIFS('SPC-CPN_Q&amp;A'!#REF!,AG$1,'SPC-CPN_Q&amp;A'!#REF!,'Writing assignments'!$C13,'SPC-CPN_Q&amp;A'!$O:$O,"Application")</f>
        <v>#REF!</v>
      </c>
      <c r="AP13" s="83" t="e">
        <f>COUNTIFS('SPC-CPN_Q&amp;A'!#REF!,AG$1,'SPC-CPN_Q&amp;A'!#REF!,'Writing assignments'!$C13,'SPC-CPN_Q&amp;A'!$O:$O,"Analysis")</f>
        <v>#REF!</v>
      </c>
      <c r="AQ13" s="82"/>
      <c r="AU13" s="84"/>
      <c r="AV13" s="82" t="s">
        <v>71</v>
      </c>
      <c r="AW13" s="83">
        <v>3</v>
      </c>
      <c r="AX13" s="83">
        <v>0</v>
      </c>
      <c r="AY13" s="83">
        <v>2</v>
      </c>
      <c r="AZ13" s="84">
        <v>1</v>
      </c>
      <c r="BB13" s="83" t="e">
        <f t="shared" si="7"/>
        <v>#REF!</v>
      </c>
      <c r="BC13" s="83" t="e">
        <f>COUNTIFS('SPC-CPN_Q&amp;A'!#REF!,AV$1,'SPC-CPN_Q&amp;A'!#REF!,'Writing assignments'!$C13,'SPC-CPN_Q&amp;A'!$O:$O,"Recall")</f>
        <v>#REF!</v>
      </c>
      <c r="BD13" s="83" t="e">
        <f>COUNTIFS('SPC-CPN_Q&amp;A'!#REF!,AV$1,'SPC-CPN_Q&amp;A'!#REF!,'Writing assignments'!$C13,'SPC-CPN_Q&amp;A'!$O:$O,"Application")</f>
        <v>#REF!</v>
      </c>
      <c r="BE13" s="83" t="e">
        <f>COUNTIFS('SPC-CPN_Q&amp;A'!#REF!,AV$1,'SPC-CPN_Q&amp;A'!#REF!,'Writing assignments'!$C13,'SPC-CPN_Q&amp;A'!$O:$O,"Analysis")</f>
        <v>#REF!</v>
      </c>
      <c r="BF13" s="82" t="s">
        <v>71</v>
      </c>
      <c r="BG13" s="83">
        <v>3</v>
      </c>
      <c r="BH13" s="83">
        <v>1</v>
      </c>
      <c r="BI13" s="83">
        <v>1</v>
      </c>
      <c r="BJ13" s="84">
        <v>1</v>
      </c>
      <c r="BL13" s="83" t="e">
        <f t="shared" si="8"/>
        <v>#REF!</v>
      </c>
      <c r="BM13" s="83" t="e">
        <f>COUNTIFS('SPC-CPN_Q&amp;A'!#REF!,BF$1,'SPC-CPN_Q&amp;A'!#REF!,'Writing assignments'!$C13,'SPC-CPN_Q&amp;A'!$O:$O,"Recall")</f>
        <v>#REF!</v>
      </c>
      <c r="BN13" s="83" t="e">
        <f>COUNTIFS('SPC-CPN_Q&amp;A'!#REF!,BF$1,'SPC-CPN_Q&amp;A'!#REF!,'Writing assignments'!$C13,'SPC-CPN_Q&amp;A'!$O:$O,"Application")</f>
        <v>#REF!</v>
      </c>
      <c r="BO13" s="83" t="e">
        <f>COUNTIFS('SPC-CPN_Q&amp;A'!#REF!,BF$1,'SPC-CPN_Q&amp;A'!#REF!,'Writing assignments'!$C13,'SPC-CPN_Q&amp;A'!$O:$O,"Analysis")</f>
        <v>#REF!</v>
      </c>
      <c r="BP13" s="82" t="s">
        <v>71</v>
      </c>
      <c r="BQ13" s="83">
        <v>3</v>
      </c>
      <c r="BR13" s="83">
        <v>0</v>
      </c>
      <c r="BS13" s="83">
        <v>2</v>
      </c>
      <c r="BT13" s="84">
        <v>1</v>
      </c>
      <c r="BV13" s="83" t="e">
        <f t="shared" si="9"/>
        <v>#REF!</v>
      </c>
      <c r="BW13" s="83" t="e">
        <f>COUNTIFS('SPC-CPN_Q&amp;A'!#REF!,BP$1,'SPC-CPN_Q&amp;A'!#REF!,'Writing assignments'!$C13,'SPC-CPN_Q&amp;A'!$O:$O,"Recall")</f>
        <v>#REF!</v>
      </c>
      <c r="BX13" s="83" t="e">
        <f>COUNTIFS('SPC-CPN_Q&amp;A'!#REF!,BP$1,'SPC-CPN_Q&amp;A'!#REF!,'Writing assignments'!$C13,'SPC-CPN_Q&amp;A'!$O:$O,"Application")</f>
        <v>#REF!</v>
      </c>
      <c r="BY13" s="83" t="e">
        <f>COUNTIFS('SPC-CPN_Q&amp;A'!#REF!,BP$1,'SPC-CPN_Q&amp;A'!#REF!,'Writing assignments'!$C13,'SPC-CPN_Q&amp;A'!$O:$O,"Analysis")</f>
        <v>#REF!</v>
      </c>
      <c r="CA13" s="83">
        <v>0</v>
      </c>
    </row>
    <row r="14" spans="2:79" x14ac:dyDescent="0.25">
      <c r="B14" s="74" t="s">
        <v>3573</v>
      </c>
      <c r="C14" s="74" t="s">
        <v>3583</v>
      </c>
      <c r="D14" s="6"/>
      <c r="E14" s="6">
        <v>1</v>
      </c>
      <c r="F14" s="6">
        <v>6</v>
      </c>
      <c r="G14" s="6">
        <v>3</v>
      </c>
      <c r="H14" s="6">
        <f t="shared" si="2"/>
        <v>10</v>
      </c>
      <c r="J14" s="42">
        <f t="shared" si="1"/>
        <v>0</v>
      </c>
      <c r="K14" s="82" t="s">
        <v>71</v>
      </c>
      <c r="L14" s="84">
        <v>1</v>
      </c>
      <c r="M14" s="82" t="s">
        <v>71</v>
      </c>
      <c r="N14" s="83">
        <f t="shared" si="3"/>
        <v>1</v>
      </c>
      <c r="P14" s="83">
        <v>1</v>
      </c>
      <c r="Q14" s="84"/>
      <c r="S14" s="83" t="e">
        <f t="shared" si="4"/>
        <v>#REF!</v>
      </c>
      <c r="T14" s="83" t="e">
        <f>COUNTIFS('SPC-CPN_Q&amp;A'!#REF!,M$1,'SPC-CPN_Q&amp;A'!#REF!,'Writing assignments'!$C14,'SPC-CPN_Q&amp;A'!$O:$O,"Recall")</f>
        <v>#REF!</v>
      </c>
      <c r="U14" s="83" t="e">
        <f>COUNTIFS('SPC-CPN_Q&amp;A'!#REF!,M$1,'SPC-CPN_Q&amp;A'!#REF!,'Writing assignments'!$C14,'SPC-CPN_Q&amp;A'!$O:$O,"Application")</f>
        <v>#REF!</v>
      </c>
      <c r="V14" s="84" t="e">
        <f>COUNTIFS('SPC-CPN_Q&amp;A'!#REF!,M$1,'SPC-CPN_Q&amp;A'!#REF!,'Writing assignments'!$C14,'SPC-CPN_Q&amp;A'!$O:$O,"Analysis")</f>
        <v>#REF!</v>
      </c>
      <c r="W14" s="83" t="s">
        <v>71</v>
      </c>
      <c r="X14" s="83">
        <v>3</v>
      </c>
      <c r="Y14" s="83">
        <v>0</v>
      </c>
      <c r="Z14" s="83">
        <v>2</v>
      </c>
      <c r="AA14" s="84">
        <v>1</v>
      </c>
      <c r="AC14" s="83" t="e">
        <f t="shared" si="5"/>
        <v>#REF!</v>
      </c>
      <c r="AD14" s="83" t="e">
        <f>COUNTIFS('SPC-CPN_Q&amp;A'!#REF!,W$1,'SPC-CPN_Q&amp;A'!#REF!,'Writing assignments'!$C14,'SPC-CPN_Q&amp;A'!$O:$O,"Recall")</f>
        <v>#REF!</v>
      </c>
      <c r="AE14" s="83" t="e">
        <f>COUNTIFS('SPC-CPN_Q&amp;A'!#REF!,W$1,'SPC-CPN_Q&amp;A'!#REF!,'Writing assignments'!$C14,'SPC-CPN_Q&amp;A'!$O:$O,"Application")</f>
        <v>#REF!</v>
      </c>
      <c r="AF14" s="83" t="e">
        <f>COUNTIFS('SPC-CPN_Q&amp;A'!#REF!,W$1,'SPC-CPN_Q&amp;A'!#REF!,'Writing assignments'!$C14,'SPC-CPN_Q&amp;A'!$O:$O,"Analysis")</f>
        <v>#REF!</v>
      </c>
      <c r="AG14" s="82" t="s">
        <v>71</v>
      </c>
      <c r="AH14" s="83">
        <v>3</v>
      </c>
      <c r="AI14" s="83">
        <v>1</v>
      </c>
      <c r="AJ14" s="83">
        <v>1</v>
      </c>
      <c r="AK14" s="84">
        <v>1</v>
      </c>
      <c r="AM14" s="83" t="e">
        <f t="shared" si="6"/>
        <v>#REF!</v>
      </c>
      <c r="AN14" s="83" t="e">
        <f>COUNTIFS('SPC-CPN_Q&amp;A'!#REF!,AG$1,'SPC-CPN_Q&amp;A'!#REF!,'Writing assignments'!$C14,'SPC-CPN_Q&amp;A'!$O:$O,"Recall")</f>
        <v>#REF!</v>
      </c>
      <c r="AO14" s="83" t="e">
        <f>COUNTIFS('SPC-CPN_Q&amp;A'!#REF!,AG$1,'SPC-CPN_Q&amp;A'!#REF!,'Writing assignments'!$C14,'SPC-CPN_Q&amp;A'!$O:$O,"Application")</f>
        <v>#REF!</v>
      </c>
      <c r="AP14" s="83" t="e">
        <f>COUNTIFS('SPC-CPN_Q&amp;A'!#REF!,AG$1,'SPC-CPN_Q&amp;A'!#REF!,'Writing assignments'!$C14,'SPC-CPN_Q&amp;A'!$O:$O,"Analysis")</f>
        <v>#REF!</v>
      </c>
      <c r="AQ14" s="82"/>
      <c r="AU14" s="84"/>
      <c r="AV14" s="82" t="s">
        <v>71</v>
      </c>
      <c r="AW14" s="83">
        <v>2</v>
      </c>
      <c r="AX14" s="83">
        <v>0</v>
      </c>
      <c r="AY14" s="83">
        <v>2</v>
      </c>
      <c r="AZ14" s="84">
        <v>0</v>
      </c>
      <c r="BB14" s="83" t="e">
        <f t="shared" si="7"/>
        <v>#REF!</v>
      </c>
      <c r="BC14" s="83" t="e">
        <f>COUNTIFS('SPC-CPN_Q&amp;A'!#REF!,AV$1,'SPC-CPN_Q&amp;A'!#REF!,'Writing assignments'!$C14,'SPC-CPN_Q&amp;A'!$O:$O,"Recall")</f>
        <v>#REF!</v>
      </c>
      <c r="BD14" s="83" t="e">
        <f>COUNTIFS('SPC-CPN_Q&amp;A'!#REF!,AV$1,'SPC-CPN_Q&amp;A'!#REF!,'Writing assignments'!$C14,'SPC-CPN_Q&amp;A'!$O:$O,"Application")</f>
        <v>#REF!</v>
      </c>
      <c r="BE14" s="83" t="e">
        <f>COUNTIFS('SPC-CPN_Q&amp;A'!#REF!,AV$1,'SPC-CPN_Q&amp;A'!#REF!,'Writing assignments'!$C14,'SPC-CPN_Q&amp;A'!$O:$O,"Analysis")</f>
        <v>#REF!</v>
      </c>
      <c r="BF14" s="82"/>
      <c r="BJ14" s="84"/>
      <c r="BL14" s="83" t="e">
        <f t="shared" si="8"/>
        <v>#REF!</v>
      </c>
      <c r="BM14" s="83" t="e">
        <f>COUNTIFS('SPC-CPN_Q&amp;A'!#REF!,BF$1,'SPC-CPN_Q&amp;A'!#REF!,'Writing assignments'!$C14,'SPC-CPN_Q&amp;A'!$O:$O,"Recall")</f>
        <v>#REF!</v>
      </c>
      <c r="BN14" s="83" t="e">
        <f>COUNTIFS('SPC-CPN_Q&amp;A'!#REF!,BF$1,'SPC-CPN_Q&amp;A'!#REF!,'Writing assignments'!$C14,'SPC-CPN_Q&amp;A'!$O:$O,"Application")</f>
        <v>#REF!</v>
      </c>
      <c r="BO14" s="83" t="e">
        <f>COUNTIFS('SPC-CPN_Q&amp;A'!#REF!,BF$1,'SPC-CPN_Q&amp;A'!#REF!,'Writing assignments'!$C14,'SPC-CPN_Q&amp;A'!$O:$O,"Analysis")</f>
        <v>#REF!</v>
      </c>
      <c r="BP14" s="82"/>
      <c r="BT14" s="84"/>
      <c r="BV14" s="83" t="e">
        <f t="shared" si="9"/>
        <v>#REF!</v>
      </c>
      <c r="BW14" s="83" t="e">
        <f>COUNTIFS('SPC-CPN_Q&amp;A'!#REF!,BP$1,'SPC-CPN_Q&amp;A'!#REF!,'Writing assignments'!$C14,'SPC-CPN_Q&amp;A'!$O:$O,"Recall")</f>
        <v>#REF!</v>
      </c>
      <c r="BX14" s="83" t="e">
        <f>COUNTIFS('SPC-CPN_Q&amp;A'!#REF!,BP$1,'SPC-CPN_Q&amp;A'!#REF!,'Writing assignments'!$C14,'SPC-CPN_Q&amp;A'!$O:$O,"Application")</f>
        <v>#REF!</v>
      </c>
      <c r="BY14" s="83" t="e">
        <f>COUNTIFS('SPC-CPN_Q&amp;A'!#REF!,BP$1,'SPC-CPN_Q&amp;A'!#REF!,'Writing assignments'!$C14,'SPC-CPN_Q&amp;A'!$O:$O,"Analysis")</f>
        <v>#REF!</v>
      </c>
      <c r="CA14" s="83">
        <v>0</v>
      </c>
    </row>
    <row r="15" spans="2:79" x14ac:dyDescent="0.25">
      <c r="B15" s="74" t="s">
        <v>3573</v>
      </c>
      <c r="C15" s="74" t="s">
        <v>3584</v>
      </c>
      <c r="D15" s="6"/>
      <c r="E15" s="6">
        <v>1</v>
      </c>
      <c r="F15" s="6">
        <v>6</v>
      </c>
      <c r="G15" s="6">
        <v>3</v>
      </c>
      <c r="H15" s="6">
        <f t="shared" si="2"/>
        <v>10</v>
      </c>
      <c r="J15" s="42">
        <f t="shared" si="1"/>
        <v>0</v>
      </c>
      <c r="K15" s="82" t="s">
        <v>71</v>
      </c>
      <c r="L15" s="84">
        <v>1</v>
      </c>
      <c r="M15" s="82"/>
      <c r="N15" s="83">
        <f t="shared" si="3"/>
        <v>0</v>
      </c>
      <c r="Q15" s="84"/>
      <c r="S15" s="83" t="e">
        <f t="shared" si="4"/>
        <v>#REF!</v>
      </c>
      <c r="T15" s="83" t="e">
        <f>COUNTIFS('SPC-CPN_Q&amp;A'!#REF!,M$1,'SPC-CPN_Q&amp;A'!#REF!,'Writing assignments'!$C15,'SPC-CPN_Q&amp;A'!$O:$O,"Recall")</f>
        <v>#REF!</v>
      </c>
      <c r="U15" s="83" t="e">
        <f>COUNTIFS('SPC-CPN_Q&amp;A'!#REF!,M$1,'SPC-CPN_Q&amp;A'!#REF!,'Writing assignments'!$C15,'SPC-CPN_Q&amp;A'!$O:$O,"Application")</f>
        <v>#REF!</v>
      </c>
      <c r="V15" s="84" t="e">
        <f>COUNTIFS('SPC-CPN_Q&amp;A'!#REF!,M$1,'SPC-CPN_Q&amp;A'!#REF!,'Writing assignments'!$C15,'SPC-CPN_Q&amp;A'!$O:$O,"Analysis")</f>
        <v>#REF!</v>
      </c>
      <c r="AA15" s="84"/>
      <c r="AC15" s="83" t="e">
        <f t="shared" si="5"/>
        <v>#REF!</v>
      </c>
      <c r="AD15" s="83" t="e">
        <f>COUNTIFS('SPC-CPN_Q&amp;A'!#REF!,W$1,'SPC-CPN_Q&amp;A'!#REF!,'Writing assignments'!$C15,'SPC-CPN_Q&amp;A'!$O:$O,"Recall")</f>
        <v>#REF!</v>
      </c>
      <c r="AE15" s="83" t="e">
        <f>COUNTIFS('SPC-CPN_Q&amp;A'!#REF!,W$1,'SPC-CPN_Q&amp;A'!#REF!,'Writing assignments'!$C15,'SPC-CPN_Q&amp;A'!$O:$O,"Application")</f>
        <v>#REF!</v>
      </c>
      <c r="AF15" s="83" t="e">
        <f>COUNTIFS('SPC-CPN_Q&amp;A'!#REF!,W$1,'SPC-CPN_Q&amp;A'!#REF!,'Writing assignments'!$C15,'SPC-CPN_Q&amp;A'!$O:$O,"Analysis")</f>
        <v>#REF!</v>
      </c>
      <c r="AG15" s="82" t="s">
        <v>71</v>
      </c>
      <c r="AH15" s="83">
        <v>3</v>
      </c>
      <c r="AI15" s="83">
        <v>1</v>
      </c>
      <c r="AJ15" s="83">
        <v>1</v>
      </c>
      <c r="AK15" s="84">
        <v>1</v>
      </c>
      <c r="AM15" s="83" t="e">
        <f t="shared" si="6"/>
        <v>#REF!</v>
      </c>
      <c r="AN15" s="83" t="e">
        <f>COUNTIFS('SPC-CPN_Q&amp;A'!#REF!,AG$1,'SPC-CPN_Q&amp;A'!#REF!,'Writing assignments'!$C15,'SPC-CPN_Q&amp;A'!$O:$O,"Recall")</f>
        <v>#REF!</v>
      </c>
      <c r="AO15" s="83" t="e">
        <f>COUNTIFS('SPC-CPN_Q&amp;A'!#REF!,AG$1,'SPC-CPN_Q&amp;A'!#REF!,'Writing assignments'!$C15,'SPC-CPN_Q&amp;A'!$O:$O,"Application")</f>
        <v>#REF!</v>
      </c>
      <c r="AP15" s="83" t="e">
        <f>COUNTIFS('SPC-CPN_Q&amp;A'!#REF!,AG$1,'SPC-CPN_Q&amp;A'!#REF!,'Writing assignments'!$C15,'SPC-CPN_Q&amp;A'!$O:$O,"Analysis")</f>
        <v>#REF!</v>
      </c>
      <c r="AQ15" s="82"/>
      <c r="AU15" s="84"/>
      <c r="AV15" s="82" t="s">
        <v>71</v>
      </c>
      <c r="AW15" s="83">
        <v>3</v>
      </c>
      <c r="AX15" s="83">
        <v>0</v>
      </c>
      <c r="AY15" s="83">
        <v>2</v>
      </c>
      <c r="AZ15" s="84">
        <v>1</v>
      </c>
      <c r="BB15" s="83" t="e">
        <f t="shared" si="7"/>
        <v>#REF!</v>
      </c>
      <c r="BC15" s="83" t="e">
        <f>COUNTIFS('SPC-CPN_Q&amp;A'!#REF!,AV$1,'SPC-CPN_Q&amp;A'!#REF!,'Writing assignments'!$C15,'SPC-CPN_Q&amp;A'!$O:$O,"Recall")</f>
        <v>#REF!</v>
      </c>
      <c r="BD15" s="83" t="e">
        <f>COUNTIFS('SPC-CPN_Q&amp;A'!#REF!,AV$1,'SPC-CPN_Q&amp;A'!#REF!,'Writing assignments'!$C15,'SPC-CPN_Q&amp;A'!$O:$O,"Application")</f>
        <v>#REF!</v>
      </c>
      <c r="BE15" s="83" t="e">
        <f>COUNTIFS('SPC-CPN_Q&amp;A'!#REF!,AV$1,'SPC-CPN_Q&amp;A'!#REF!,'Writing assignments'!$C15,'SPC-CPN_Q&amp;A'!$O:$O,"Analysis")</f>
        <v>#REF!</v>
      </c>
      <c r="BF15" s="82" t="s">
        <v>71</v>
      </c>
      <c r="BG15" s="83">
        <v>3</v>
      </c>
      <c r="BH15" s="83">
        <v>0</v>
      </c>
      <c r="BI15" s="83">
        <v>2</v>
      </c>
      <c r="BJ15" s="84">
        <v>1</v>
      </c>
      <c r="BL15" s="83" t="e">
        <f t="shared" si="8"/>
        <v>#REF!</v>
      </c>
      <c r="BM15" s="83" t="e">
        <f>COUNTIFS('SPC-CPN_Q&amp;A'!#REF!,BF$1,'SPC-CPN_Q&amp;A'!#REF!,'Writing assignments'!$C15,'SPC-CPN_Q&amp;A'!$O:$O,"Recall")</f>
        <v>#REF!</v>
      </c>
      <c r="BN15" s="83" t="e">
        <f>COUNTIFS('SPC-CPN_Q&amp;A'!#REF!,BF$1,'SPC-CPN_Q&amp;A'!#REF!,'Writing assignments'!$C15,'SPC-CPN_Q&amp;A'!$O:$O,"Application")</f>
        <v>#REF!</v>
      </c>
      <c r="BO15" s="83" t="e">
        <f>COUNTIFS('SPC-CPN_Q&amp;A'!#REF!,BF$1,'SPC-CPN_Q&amp;A'!#REF!,'Writing assignments'!$C15,'SPC-CPN_Q&amp;A'!$O:$O,"Analysis")</f>
        <v>#REF!</v>
      </c>
      <c r="BP15" s="82"/>
      <c r="BT15" s="84"/>
      <c r="BV15" s="83" t="e">
        <f t="shared" si="9"/>
        <v>#REF!</v>
      </c>
      <c r="BW15" s="83" t="e">
        <f>COUNTIFS('SPC-CPN_Q&amp;A'!#REF!,BP$1,'SPC-CPN_Q&amp;A'!#REF!,'Writing assignments'!$C15,'SPC-CPN_Q&amp;A'!$O:$O,"Recall")</f>
        <v>#REF!</v>
      </c>
      <c r="BX15" s="83" t="e">
        <f>COUNTIFS('SPC-CPN_Q&amp;A'!#REF!,BP$1,'SPC-CPN_Q&amp;A'!#REF!,'Writing assignments'!$C15,'SPC-CPN_Q&amp;A'!$O:$O,"Application")</f>
        <v>#REF!</v>
      </c>
      <c r="BY15" s="83" t="e">
        <f>COUNTIFS('SPC-CPN_Q&amp;A'!#REF!,BP$1,'SPC-CPN_Q&amp;A'!#REF!,'Writing assignments'!$C15,'SPC-CPN_Q&amp;A'!$O:$O,"Analysis")</f>
        <v>#REF!</v>
      </c>
      <c r="CA15" s="83">
        <v>0</v>
      </c>
    </row>
    <row r="16" spans="2:79" x14ac:dyDescent="0.25">
      <c r="B16" s="74" t="s">
        <v>3573</v>
      </c>
      <c r="C16" s="74" t="s">
        <v>3585</v>
      </c>
      <c r="D16" s="6"/>
      <c r="E16" s="6">
        <v>1</v>
      </c>
      <c r="F16" s="6">
        <v>6</v>
      </c>
      <c r="G16" s="6">
        <v>3</v>
      </c>
      <c r="H16" s="6">
        <f t="shared" si="2"/>
        <v>10</v>
      </c>
      <c r="J16" s="42">
        <f t="shared" si="1"/>
        <v>0</v>
      </c>
      <c r="K16" s="82" t="s">
        <v>71</v>
      </c>
      <c r="L16" s="84">
        <v>1</v>
      </c>
      <c r="M16" s="82"/>
      <c r="N16" s="83">
        <f t="shared" si="3"/>
        <v>0</v>
      </c>
      <c r="Q16" s="84"/>
      <c r="S16" s="83" t="e">
        <f t="shared" si="4"/>
        <v>#REF!</v>
      </c>
      <c r="T16" s="83" t="e">
        <f>COUNTIFS('SPC-CPN_Q&amp;A'!#REF!,M$1,'SPC-CPN_Q&amp;A'!#REF!,'Writing assignments'!$C16,'SPC-CPN_Q&amp;A'!$O:$O,"Recall")</f>
        <v>#REF!</v>
      </c>
      <c r="U16" s="83" t="e">
        <f>COUNTIFS('SPC-CPN_Q&amp;A'!#REF!,M$1,'SPC-CPN_Q&amp;A'!#REF!,'Writing assignments'!$C16,'SPC-CPN_Q&amp;A'!$O:$O,"Application")</f>
        <v>#REF!</v>
      </c>
      <c r="V16" s="84" t="e">
        <f>COUNTIFS('SPC-CPN_Q&amp;A'!#REF!,M$1,'SPC-CPN_Q&amp;A'!#REF!,'Writing assignments'!$C16,'SPC-CPN_Q&amp;A'!$O:$O,"Analysis")</f>
        <v>#REF!</v>
      </c>
      <c r="W16" s="83" t="s">
        <v>71</v>
      </c>
      <c r="X16" s="83">
        <v>3</v>
      </c>
      <c r="Y16" s="83">
        <v>0</v>
      </c>
      <c r="Z16" s="83">
        <v>2</v>
      </c>
      <c r="AA16" s="84">
        <v>1</v>
      </c>
      <c r="AC16" s="83" t="e">
        <f t="shared" si="5"/>
        <v>#REF!</v>
      </c>
      <c r="AD16" s="83" t="e">
        <f>COUNTIFS('SPC-CPN_Q&amp;A'!#REF!,W$1,'SPC-CPN_Q&amp;A'!#REF!,'Writing assignments'!$C16,'SPC-CPN_Q&amp;A'!$O:$O,"Recall")</f>
        <v>#REF!</v>
      </c>
      <c r="AE16" s="83" t="e">
        <f>COUNTIFS('SPC-CPN_Q&amp;A'!#REF!,W$1,'SPC-CPN_Q&amp;A'!#REF!,'Writing assignments'!$C16,'SPC-CPN_Q&amp;A'!$O:$O,"Application")</f>
        <v>#REF!</v>
      </c>
      <c r="AF16" s="83" t="e">
        <f>COUNTIFS('SPC-CPN_Q&amp;A'!#REF!,W$1,'SPC-CPN_Q&amp;A'!#REF!,'Writing assignments'!$C16,'SPC-CPN_Q&amp;A'!$O:$O,"Analysis")</f>
        <v>#REF!</v>
      </c>
      <c r="AG16" s="82" t="s">
        <v>71</v>
      </c>
      <c r="AH16" s="83">
        <v>3</v>
      </c>
      <c r="AI16" s="83">
        <v>0</v>
      </c>
      <c r="AJ16" s="83">
        <v>2</v>
      </c>
      <c r="AK16" s="84">
        <v>1</v>
      </c>
      <c r="AM16" s="83" t="e">
        <f t="shared" si="6"/>
        <v>#REF!</v>
      </c>
      <c r="AN16" s="83" t="e">
        <f>COUNTIFS('SPC-CPN_Q&amp;A'!#REF!,AG$1,'SPC-CPN_Q&amp;A'!#REF!,'Writing assignments'!$C16,'SPC-CPN_Q&amp;A'!$O:$O,"Recall")</f>
        <v>#REF!</v>
      </c>
      <c r="AO16" s="83" t="e">
        <f>COUNTIFS('SPC-CPN_Q&amp;A'!#REF!,AG$1,'SPC-CPN_Q&amp;A'!#REF!,'Writing assignments'!$C16,'SPC-CPN_Q&amp;A'!$O:$O,"Application")</f>
        <v>#REF!</v>
      </c>
      <c r="AP16" s="83" t="e">
        <f>COUNTIFS('SPC-CPN_Q&amp;A'!#REF!,AG$1,'SPC-CPN_Q&amp;A'!#REF!,'Writing assignments'!$C16,'SPC-CPN_Q&amp;A'!$O:$O,"Analysis")</f>
        <v>#REF!</v>
      </c>
      <c r="AQ16" s="82"/>
      <c r="AU16" s="84"/>
      <c r="AV16" s="82" t="s">
        <v>71</v>
      </c>
      <c r="AW16" s="83">
        <v>3</v>
      </c>
      <c r="AX16" s="83">
        <v>1</v>
      </c>
      <c r="AY16" s="83">
        <v>1</v>
      </c>
      <c r="AZ16" s="84">
        <v>1</v>
      </c>
      <c r="BB16" s="83" t="e">
        <f t="shared" si="7"/>
        <v>#REF!</v>
      </c>
      <c r="BC16" s="83" t="e">
        <f>COUNTIFS('SPC-CPN_Q&amp;A'!#REF!,AV$1,'SPC-CPN_Q&amp;A'!#REF!,'Writing assignments'!$C16,'SPC-CPN_Q&amp;A'!$O:$O,"Recall")</f>
        <v>#REF!</v>
      </c>
      <c r="BD16" s="83" t="e">
        <f>COUNTIFS('SPC-CPN_Q&amp;A'!#REF!,AV$1,'SPC-CPN_Q&amp;A'!#REF!,'Writing assignments'!$C16,'SPC-CPN_Q&amp;A'!$O:$O,"Application")</f>
        <v>#REF!</v>
      </c>
      <c r="BE16" s="83" t="e">
        <f>COUNTIFS('SPC-CPN_Q&amp;A'!#REF!,AV$1,'SPC-CPN_Q&amp;A'!#REF!,'Writing assignments'!$C16,'SPC-CPN_Q&amp;A'!$O:$O,"Analysis")</f>
        <v>#REF!</v>
      </c>
      <c r="BF16" s="82"/>
      <c r="BJ16" s="84"/>
      <c r="BL16" s="83" t="e">
        <f t="shared" si="8"/>
        <v>#REF!</v>
      </c>
      <c r="BM16" s="83" t="e">
        <f>COUNTIFS('SPC-CPN_Q&amp;A'!#REF!,BF$1,'SPC-CPN_Q&amp;A'!#REF!,'Writing assignments'!$C16,'SPC-CPN_Q&amp;A'!$O:$O,"Recall")</f>
        <v>#REF!</v>
      </c>
      <c r="BN16" s="83" t="e">
        <f>COUNTIFS('SPC-CPN_Q&amp;A'!#REF!,BF$1,'SPC-CPN_Q&amp;A'!#REF!,'Writing assignments'!$C16,'SPC-CPN_Q&amp;A'!$O:$O,"Application")</f>
        <v>#REF!</v>
      </c>
      <c r="BO16" s="83" t="e">
        <f>COUNTIFS('SPC-CPN_Q&amp;A'!#REF!,BF$1,'SPC-CPN_Q&amp;A'!#REF!,'Writing assignments'!$C16,'SPC-CPN_Q&amp;A'!$O:$O,"Analysis")</f>
        <v>#REF!</v>
      </c>
      <c r="BP16" s="82"/>
      <c r="BT16" s="84"/>
      <c r="BV16" s="83" t="e">
        <f t="shared" si="9"/>
        <v>#REF!</v>
      </c>
      <c r="BW16" s="83" t="e">
        <f>COUNTIFS('SPC-CPN_Q&amp;A'!#REF!,BP$1,'SPC-CPN_Q&amp;A'!#REF!,'Writing assignments'!$C16,'SPC-CPN_Q&amp;A'!$O:$O,"Recall")</f>
        <v>#REF!</v>
      </c>
      <c r="BX16" s="83" t="e">
        <f>COUNTIFS('SPC-CPN_Q&amp;A'!#REF!,BP$1,'SPC-CPN_Q&amp;A'!#REF!,'Writing assignments'!$C16,'SPC-CPN_Q&amp;A'!$O:$O,"Application")</f>
        <v>#REF!</v>
      </c>
      <c r="BY16" s="83" t="e">
        <f>COUNTIFS('SPC-CPN_Q&amp;A'!#REF!,BP$1,'SPC-CPN_Q&amp;A'!#REF!,'Writing assignments'!$C16,'SPC-CPN_Q&amp;A'!$O:$O,"Analysis")</f>
        <v>#REF!</v>
      </c>
      <c r="CA16" s="83">
        <v>0</v>
      </c>
    </row>
    <row r="17" spans="2:79" x14ac:dyDescent="0.25">
      <c r="B17" s="74" t="s">
        <v>3573</v>
      </c>
      <c r="C17" s="74" t="s">
        <v>3586</v>
      </c>
      <c r="D17" s="6"/>
      <c r="E17" s="6">
        <v>1</v>
      </c>
      <c r="F17" s="6">
        <v>6</v>
      </c>
      <c r="G17" s="6">
        <v>3</v>
      </c>
      <c r="H17" s="6">
        <f t="shared" si="2"/>
        <v>10</v>
      </c>
      <c r="J17" s="42">
        <f t="shared" si="1"/>
        <v>0</v>
      </c>
      <c r="K17" s="82" t="s">
        <v>71</v>
      </c>
      <c r="L17" s="84">
        <v>1</v>
      </c>
      <c r="M17" s="82" t="s">
        <v>71</v>
      </c>
      <c r="N17" s="83">
        <f t="shared" si="3"/>
        <v>1</v>
      </c>
      <c r="P17" s="83">
        <v>1</v>
      </c>
      <c r="Q17" s="84"/>
      <c r="S17" s="83" t="e">
        <f t="shared" si="4"/>
        <v>#REF!</v>
      </c>
      <c r="T17" s="83" t="e">
        <f>COUNTIFS('SPC-CPN_Q&amp;A'!#REF!,M$1,'SPC-CPN_Q&amp;A'!#REF!,'Writing assignments'!$C17,'SPC-CPN_Q&amp;A'!$O:$O,"Recall")</f>
        <v>#REF!</v>
      </c>
      <c r="U17" s="83" t="e">
        <f>COUNTIFS('SPC-CPN_Q&amp;A'!#REF!,M$1,'SPC-CPN_Q&amp;A'!#REF!,'Writing assignments'!$C17,'SPC-CPN_Q&amp;A'!$O:$O,"Application")</f>
        <v>#REF!</v>
      </c>
      <c r="V17" s="84" t="e">
        <f>COUNTIFS('SPC-CPN_Q&amp;A'!#REF!,M$1,'SPC-CPN_Q&amp;A'!#REF!,'Writing assignments'!$C17,'SPC-CPN_Q&amp;A'!$O:$O,"Analysis")</f>
        <v>#REF!</v>
      </c>
      <c r="AA17" s="84"/>
      <c r="AC17" s="83" t="e">
        <f t="shared" si="5"/>
        <v>#REF!</v>
      </c>
      <c r="AD17" s="83" t="e">
        <f>COUNTIFS('SPC-CPN_Q&amp;A'!#REF!,W$1,'SPC-CPN_Q&amp;A'!#REF!,'Writing assignments'!$C17,'SPC-CPN_Q&amp;A'!$O:$O,"Recall")</f>
        <v>#REF!</v>
      </c>
      <c r="AE17" s="83" t="e">
        <f>COUNTIFS('SPC-CPN_Q&amp;A'!#REF!,W$1,'SPC-CPN_Q&amp;A'!#REF!,'Writing assignments'!$C17,'SPC-CPN_Q&amp;A'!$O:$O,"Application")</f>
        <v>#REF!</v>
      </c>
      <c r="AF17" s="83" t="e">
        <f>COUNTIFS('SPC-CPN_Q&amp;A'!#REF!,W$1,'SPC-CPN_Q&amp;A'!#REF!,'Writing assignments'!$C17,'SPC-CPN_Q&amp;A'!$O:$O,"Analysis")</f>
        <v>#REF!</v>
      </c>
      <c r="AG17" s="82"/>
      <c r="AK17" s="84"/>
      <c r="AM17" s="83" t="e">
        <f t="shared" si="6"/>
        <v>#REF!</v>
      </c>
      <c r="AN17" s="83" t="e">
        <f>COUNTIFS('SPC-CPN_Q&amp;A'!#REF!,AG$1,'SPC-CPN_Q&amp;A'!#REF!,'Writing assignments'!$C17,'SPC-CPN_Q&amp;A'!$O:$O,"Recall")</f>
        <v>#REF!</v>
      </c>
      <c r="AO17" s="83" t="e">
        <f>COUNTIFS('SPC-CPN_Q&amp;A'!#REF!,AG$1,'SPC-CPN_Q&amp;A'!#REF!,'Writing assignments'!$C17,'SPC-CPN_Q&amp;A'!$O:$O,"Application")</f>
        <v>#REF!</v>
      </c>
      <c r="AP17" s="83" t="e">
        <f>COUNTIFS('SPC-CPN_Q&amp;A'!#REF!,AG$1,'SPC-CPN_Q&amp;A'!#REF!,'Writing assignments'!$C17,'SPC-CPN_Q&amp;A'!$O:$O,"Analysis")</f>
        <v>#REF!</v>
      </c>
      <c r="AQ17" s="82"/>
      <c r="AU17" s="84"/>
      <c r="AV17" s="82" t="s">
        <v>71</v>
      </c>
      <c r="AW17" s="83">
        <v>2</v>
      </c>
      <c r="AX17" s="83">
        <v>0</v>
      </c>
      <c r="AY17" s="83">
        <v>1</v>
      </c>
      <c r="AZ17" s="84">
        <v>1</v>
      </c>
      <c r="BB17" s="83" t="e">
        <f t="shared" si="7"/>
        <v>#REF!</v>
      </c>
      <c r="BC17" s="83" t="e">
        <f>COUNTIFS('SPC-CPN_Q&amp;A'!#REF!,AV$1,'SPC-CPN_Q&amp;A'!#REF!,'Writing assignments'!$C17,'SPC-CPN_Q&amp;A'!$O:$O,"Recall")</f>
        <v>#REF!</v>
      </c>
      <c r="BD17" s="83" t="e">
        <f>COUNTIFS('SPC-CPN_Q&amp;A'!#REF!,AV$1,'SPC-CPN_Q&amp;A'!#REF!,'Writing assignments'!$C17,'SPC-CPN_Q&amp;A'!$O:$O,"Application")</f>
        <v>#REF!</v>
      </c>
      <c r="BE17" s="83" t="e">
        <f>COUNTIFS('SPC-CPN_Q&amp;A'!#REF!,AV$1,'SPC-CPN_Q&amp;A'!#REF!,'Writing assignments'!$C17,'SPC-CPN_Q&amp;A'!$O:$O,"Analysis")</f>
        <v>#REF!</v>
      </c>
      <c r="BF17" s="82" t="s">
        <v>71</v>
      </c>
      <c r="BG17" s="83">
        <v>3</v>
      </c>
      <c r="BH17" s="83">
        <v>0</v>
      </c>
      <c r="BI17" s="83">
        <v>2</v>
      </c>
      <c r="BJ17" s="84">
        <v>1</v>
      </c>
      <c r="BL17" s="83" t="e">
        <f t="shared" si="8"/>
        <v>#REF!</v>
      </c>
      <c r="BM17" s="83" t="e">
        <f>COUNTIFS('SPC-CPN_Q&amp;A'!#REF!,BF$1,'SPC-CPN_Q&amp;A'!#REF!,'Writing assignments'!$C17,'SPC-CPN_Q&amp;A'!$O:$O,"Recall")</f>
        <v>#REF!</v>
      </c>
      <c r="BN17" s="83" t="e">
        <f>COUNTIFS('SPC-CPN_Q&amp;A'!#REF!,BF$1,'SPC-CPN_Q&amp;A'!#REF!,'Writing assignments'!$C17,'SPC-CPN_Q&amp;A'!$O:$O,"Application")</f>
        <v>#REF!</v>
      </c>
      <c r="BO17" s="83" t="e">
        <f>COUNTIFS('SPC-CPN_Q&amp;A'!#REF!,BF$1,'SPC-CPN_Q&amp;A'!#REF!,'Writing assignments'!$C17,'SPC-CPN_Q&amp;A'!$O:$O,"Analysis")</f>
        <v>#REF!</v>
      </c>
      <c r="BP17" s="82" t="s">
        <v>71</v>
      </c>
      <c r="BQ17" s="83">
        <v>3</v>
      </c>
      <c r="BR17" s="83">
        <v>1</v>
      </c>
      <c r="BS17" s="83">
        <v>1</v>
      </c>
      <c r="BT17" s="84">
        <v>1</v>
      </c>
      <c r="BV17" s="83" t="e">
        <f t="shared" si="9"/>
        <v>#REF!</v>
      </c>
      <c r="BW17" s="83" t="e">
        <f>COUNTIFS('SPC-CPN_Q&amp;A'!#REF!,BP$1,'SPC-CPN_Q&amp;A'!#REF!,'Writing assignments'!$C17,'SPC-CPN_Q&amp;A'!$O:$O,"Recall")</f>
        <v>#REF!</v>
      </c>
      <c r="BX17" s="83" t="e">
        <f>COUNTIFS('SPC-CPN_Q&amp;A'!#REF!,BP$1,'SPC-CPN_Q&amp;A'!#REF!,'Writing assignments'!$C17,'SPC-CPN_Q&amp;A'!$O:$O,"Application")</f>
        <v>#REF!</v>
      </c>
      <c r="BY17" s="83" t="e">
        <f>COUNTIFS('SPC-CPN_Q&amp;A'!#REF!,BP$1,'SPC-CPN_Q&amp;A'!#REF!,'Writing assignments'!$C17,'SPC-CPN_Q&amp;A'!$O:$O,"Analysis")</f>
        <v>#REF!</v>
      </c>
      <c r="CA17" s="83">
        <v>0</v>
      </c>
    </row>
    <row r="18" spans="2:79" x14ac:dyDescent="0.25">
      <c r="B18" s="74" t="s">
        <v>3573</v>
      </c>
      <c r="C18" s="74" t="s">
        <v>3587</v>
      </c>
      <c r="D18" s="6"/>
      <c r="E18" s="6">
        <v>1</v>
      </c>
      <c r="F18" s="6">
        <v>6</v>
      </c>
      <c r="G18" s="6">
        <v>3</v>
      </c>
      <c r="H18" s="6">
        <f t="shared" si="2"/>
        <v>10</v>
      </c>
      <c r="J18" s="42">
        <f t="shared" si="1"/>
        <v>0</v>
      </c>
      <c r="K18" s="82" t="s">
        <v>71</v>
      </c>
      <c r="L18" s="84">
        <v>1</v>
      </c>
      <c r="M18" s="82" t="s">
        <v>71</v>
      </c>
      <c r="N18" s="83">
        <f t="shared" si="3"/>
        <v>3</v>
      </c>
      <c r="P18" s="83">
        <v>2</v>
      </c>
      <c r="Q18" s="83">
        <v>1</v>
      </c>
      <c r="S18" s="83" t="e">
        <f t="shared" si="4"/>
        <v>#REF!</v>
      </c>
      <c r="T18" s="83" t="e">
        <f>COUNTIFS('SPC-CPN_Q&amp;A'!#REF!,M$1,'SPC-CPN_Q&amp;A'!#REF!,'Writing assignments'!$C18,'SPC-CPN_Q&amp;A'!$O:$O,"Recall")</f>
        <v>#REF!</v>
      </c>
      <c r="U18" s="83" t="e">
        <f>COUNTIFS('SPC-CPN_Q&amp;A'!#REF!,M$1,'SPC-CPN_Q&amp;A'!#REF!,'Writing assignments'!$C18,'SPC-CPN_Q&amp;A'!$O:$O,"Application")</f>
        <v>#REF!</v>
      </c>
      <c r="V18" s="84" t="e">
        <f>COUNTIFS('SPC-CPN_Q&amp;A'!#REF!,M$1,'SPC-CPN_Q&amp;A'!#REF!,'Writing assignments'!$C18,'SPC-CPN_Q&amp;A'!$O:$O,"Analysis")</f>
        <v>#REF!</v>
      </c>
      <c r="W18" s="83" t="s">
        <v>71</v>
      </c>
      <c r="X18" s="83">
        <v>2</v>
      </c>
      <c r="Y18" s="83">
        <v>0</v>
      </c>
      <c r="Z18" s="83">
        <v>1</v>
      </c>
      <c r="AA18" s="84">
        <v>1</v>
      </c>
      <c r="AC18" s="83" t="e">
        <f t="shared" si="5"/>
        <v>#REF!</v>
      </c>
      <c r="AD18" s="83" t="e">
        <f>COUNTIFS('SPC-CPN_Q&amp;A'!#REF!,W$1,'SPC-CPN_Q&amp;A'!#REF!,'Writing assignments'!$C18,'SPC-CPN_Q&amp;A'!$O:$O,"Recall")</f>
        <v>#REF!</v>
      </c>
      <c r="AE18" s="83" t="e">
        <f>COUNTIFS('SPC-CPN_Q&amp;A'!#REF!,W$1,'SPC-CPN_Q&amp;A'!#REF!,'Writing assignments'!$C18,'SPC-CPN_Q&amp;A'!$O:$O,"Application")</f>
        <v>#REF!</v>
      </c>
      <c r="AF18" s="83" t="e">
        <f>COUNTIFS('SPC-CPN_Q&amp;A'!#REF!,W$1,'SPC-CPN_Q&amp;A'!#REF!,'Writing assignments'!$C18,'SPC-CPN_Q&amp;A'!$O:$O,"Analysis")</f>
        <v>#REF!</v>
      </c>
      <c r="AG18" s="82"/>
      <c r="AK18" s="84"/>
      <c r="AM18" s="83" t="e">
        <f t="shared" si="6"/>
        <v>#REF!</v>
      </c>
      <c r="AN18" s="83" t="e">
        <f>COUNTIFS('SPC-CPN_Q&amp;A'!#REF!,AG$1,'SPC-CPN_Q&amp;A'!#REF!,'Writing assignments'!$C18,'SPC-CPN_Q&amp;A'!$O:$O,"Recall")</f>
        <v>#REF!</v>
      </c>
      <c r="AO18" s="83" t="e">
        <f>COUNTIFS('SPC-CPN_Q&amp;A'!#REF!,AG$1,'SPC-CPN_Q&amp;A'!#REF!,'Writing assignments'!$C18,'SPC-CPN_Q&amp;A'!$O:$O,"Application")</f>
        <v>#REF!</v>
      </c>
      <c r="AP18" s="83" t="e">
        <f>COUNTIFS('SPC-CPN_Q&amp;A'!#REF!,AG$1,'SPC-CPN_Q&amp;A'!#REF!,'Writing assignments'!$C18,'SPC-CPN_Q&amp;A'!$O:$O,"Analysis")</f>
        <v>#REF!</v>
      </c>
      <c r="AQ18" s="82"/>
      <c r="AU18" s="84"/>
      <c r="BB18" s="83" t="e">
        <f t="shared" si="7"/>
        <v>#REF!</v>
      </c>
      <c r="BC18" s="83" t="e">
        <f>COUNTIFS('SPC-CPN_Q&amp;A'!#REF!,AV$1,'SPC-CPN_Q&amp;A'!#REF!,'Writing assignments'!$C18,'SPC-CPN_Q&amp;A'!$O:$O,"Recall")</f>
        <v>#REF!</v>
      </c>
      <c r="BD18" s="83" t="e">
        <f>COUNTIFS('SPC-CPN_Q&amp;A'!#REF!,AV$1,'SPC-CPN_Q&amp;A'!#REF!,'Writing assignments'!$C18,'SPC-CPN_Q&amp;A'!$O:$O,"Application")</f>
        <v>#REF!</v>
      </c>
      <c r="BE18" s="83" t="e">
        <f>COUNTIFS('SPC-CPN_Q&amp;A'!#REF!,AV$1,'SPC-CPN_Q&amp;A'!#REF!,'Writing assignments'!$C18,'SPC-CPN_Q&amp;A'!$O:$O,"Analysis")</f>
        <v>#REF!</v>
      </c>
      <c r="BF18" s="82" t="s">
        <v>71</v>
      </c>
      <c r="BG18" s="83">
        <v>2</v>
      </c>
      <c r="BH18" s="83">
        <v>1</v>
      </c>
      <c r="BI18" s="83">
        <v>1</v>
      </c>
      <c r="BJ18" s="84">
        <v>0</v>
      </c>
      <c r="BL18" s="83" t="e">
        <f t="shared" si="8"/>
        <v>#REF!</v>
      </c>
      <c r="BM18" s="83" t="e">
        <f>COUNTIFS('SPC-CPN_Q&amp;A'!#REF!,BF$1,'SPC-CPN_Q&amp;A'!#REF!,'Writing assignments'!$C18,'SPC-CPN_Q&amp;A'!$O:$O,"Recall")</f>
        <v>#REF!</v>
      </c>
      <c r="BN18" s="83" t="e">
        <f>COUNTIFS('SPC-CPN_Q&amp;A'!#REF!,BF$1,'SPC-CPN_Q&amp;A'!#REF!,'Writing assignments'!$C18,'SPC-CPN_Q&amp;A'!$O:$O,"Application")</f>
        <v>#REF!</v>
      </c>
      <c r="BO18" s="83" t="e">
        <f>COUNTIFS('SPC-CPN_Q&amp;A'!#REF!,BF$1,'SPC-CPN_Q&amp;A'!#REF!,'Writing assignments'!$C18,'SPC-CPN_Q&amp;A'!$O:$O,"Analysis")</f>
        <v>#REF!</v>
      </c>
      <c r="BP18" s="82" t="s">
        <v>71</v>
      </c>
      <c r="BQ18" s="83">
        <v>2</v>
      </c>
      <c r="BR18" s="83">
        <v>0</v>
      </c>
      <c r="BS18" s="83">
        <v>1</v>
      </c>
      <c r="BT18" s="84">
        <v>1</v>
      </c>
      <c r="BV18" s="83" t="e">
        <f t="shared" si="9"/>
        <v>#REF!</v>
      </c>
      <c r="BW18" s="83" t="e">
        <f>COUNTIFS('SPC-CPN_Q&amp;A'!#REF!,BP$1,'SPC-CPN_Q&amp;A'!#REF!,'Writing assignments'!$C18,'SPC-CPN_Q&amp;A'!$O:$O,"Recall")</f>
        <v>#REF!</v>
      </c>
      <c r="BX18" s="83" t="e">
        <f>COUNTIFS('SPC-CPN_Q&amp;A'!#REF!,BP$1,'SPC-CPN_Q&amp;A'!#REF!,'Writing assignments'!$C18,'SPC-CPN_Q&amp;A'!$O:$O,"Application")</f>
        <v>#REF!</v>
      </c>
      <c r="BY18" s="83" t="e">
        <f>COUNTIFS('SPC-CPN_Q&amp;A'!#REF!,BP$1,'SPC-CPN_Q&amp;A'!#REF!,'Writing assignments'!$C18,'SPC-CPN_Q&amp;A'!$O:$O,"Analysis")</f>
        <v>#REF!</v>
      </c>
      <c r="CA18" s="83">
        <v>0</v>
      </c>
    </row>
    <row r="19" spans="2:79" x14ac:dyDescent="0.25">
      <c r="B19" s="74" t="s">
        <v>3573</v>
      </c>
      <c r="C19" s="74" t="s">
        <v>3588</v>
      </c>
      <c r="D19" s="6"/>
      <c r="E19" s="6">
        <v>1</v>
      </c>
      <c r="F19" s="6">
        <v>6</v>
      </c>
      <c r="G19" s="6">
        <v>3</v>
      </c>
      <c r="H19" s="6">
        <f t="shared" si="2"/>
        <v>10</v>
      </c>
      <c r="J19" s="42">
        <f t="shared" si="1"/>
        <v>0</v>
      </c>
      <c r="K19" s="82" t="s">
        <v>71</v>
      </c>
      <c r="L19" s="84">
        <v>1</v>
      </c>
      <c r="M19" s="82" t="s">
        <v>71</v>
      </c>
      <c r="N19" s="83">
        <f t="shared" si="3"/>
        <v>3</v>
      </c>
      <c r="P19" s="83">
        <v>2</v>
      </c>
      <c r="Q19" s="83">
        <v>1</v>
      </c>
      <c r="S19" s="83" t="e">
        <f t="shared" si="4"/>
        <v>#REF!</v>
      </c>
      <c r="T19" s="83" t="e">
        <f>COUNTIFS('SPC-CPN_Q&amp;A'!#REF!,M$1,'SPC-CPN_Q&amp;A'!#REF!,'Writing assignments'!$C19,'SPC-CPN_Q&amp;A'!$O:$O,"Recall")</f>
        <v>#REF!</v>
      </c>
      <c r="U19" s="83" t="e">
        <f>COUNTIFS('SPC-CPN_Q&amp;A'!#REF!,M$1,'SPC-CPN_Q&amp;A'!#REF!,'Writing assignments'!$C19,'SPC-CPN_Q&amp;A'!$O:$O,"Application")</f>
        <v>#REF!</v>
      </c>
      <c r="V19" s="84" t="e">
        <f>COUNTIFS('SPC-CPN_Q&amp;A'!#REF!,M$1,'SPC-CPN_Q&amp;A'!#REF!,'Writing assignments'!$C19,'SPC-CPN_Q&amp;A'!$O:$O,"Analysis")</f>
        <v>#REF!</v>
      </c>
      <c r="W19" s="83" t="s">
        <v>71</v>
      </c>
      <c r="X19" s="83">
        <v>3</v>
      </c>
      <c r="Y19" s="83">
        <v>1</v>
      </c>
      <c r="Z19" s="83">
        <v>1</v>
      </c>
      <c r="AA19" s="84">
        <v>1</v>
      </c>
      <c r="AC19" s="83" t="e">
        <f t="shared" si="5"/>
        <v>#REF!</v>
      </c>
      <c r="AD19" s="83" t="e">
        <f>COUNTIFS('SPC-CPN_Q&amp;A'!#REF!,W$1,'SPC-CPN_Q&amp;A'!#REF!,'Writing assignments'!$C19,'SPC-CPN_Q&amp;A'!$O:$O,"Recall")</f>
        <v>#REF!</v>
      </c>
      <c r="AE19" s="83" t="e">
        <f>COUNTIFS('SPC-CPN_Q&amp;A'!#REF!,W$1,'SPC-CPN_Q&amp;A'!#REF!,'Writing assignments'!$C19,'SPC-CPN_Q&amp;A'!$O:$O,"Application")</f>
        <v>#REF!</v>
      </c>
      <c r="AF19" s="83" t="e">
        <f>COUNTIFS('SPC-CPN_Q&amp;A'!#REF!,W$1,'SPC-CPN_Q&amp;A'!#REF!,'Writing assignments'!$C19,'SPC-CPN_Q&amp;A'!$O:$O,"Analysis")</f>
        <v>#REF!</v>
      </c>
      <c r="AG19" s="82" t="s">
        <v>71</v>
      </c>
      <c r="AH19" s="83">
        <v>3</v>
      </c>
      <c r="AI19" s="83">
        <v>0</v>
      </c>
      <c r="AJ19" s="83">
        <v>2</v>
      </c>
      <c r="AK19" s="84">
        <v>1</v>
      </c>
      <c r="AM19" s="83" t="e">
        <f t="shared" si="6"/>
        <v>#REF!</v>
      </c>
      <c r="AN19" s="83" t="e">
        <f>COUNTIFS('SPC-CPN_Q&amp;A'!#REF!,AG$1,'SPC-CPN_Q&amp;A'!#REF!,'Writing assignments'!$C19,'SPC-CPN_Q&amp;A'!$O:$O,"Recall")</f>
        <v>#REF!</v>
      </c>
      <c r="AO19" s="83" t="e">
        <f>COUNTIFS('SPC-CPN_Q&amp;A'!#REF!,AG$1,'SPC-CPN_Q&amp;A'!#REF!,'Writing assignments'!$C19,'SPC-CPN_Q&amp;A'!$O:$O,"Application")</f>
        <v>#REF!</v>
      </c>
      <c r="AP19" s="83" t="e">
        <f>COUNTIFS('SPC-CPN_Q&amp;A'!#REF!,AG$1,'SPC-CPN_Q&amp;A'!#REF!,'Writing assignments'!$C19,'SPC-CPN_Q&amp;A'!$O:$O,"Analysis")</f>
        <v>#REF!</v>
      </c>
      <c r="AQ19" s="82" t="s">
        <v>71</v>
      </c>
      <c r="AR19" s="83">
        <v>3</v>
      </c>
      <c r="AS19" s="83">
        <v>0</v>
      </c>
      <c r="AT19" s="83">
        <v>2</v>
      </c>
      <c r="AU19" s="84">
        <v>1</v>
      </c>
      <c r="BB19" s="83" t="e">
        <f t="shared" si="7"/>
        <v>#REF!</v>
      </c>
      <c r="BC19" s="83" t="e">
        <f>COUNTIFS('SPC-CPN_Q&amp;A'!#REF!,AV$1,'SPC-CPN_Q&amp;A'!#REF!,'Writing assignments'!$C19,'SPC-CPN_Q&amp;A'!$O:$O,"Recall")</f>
        <v>#REF!</v>
      </c>
      <c r="BD19" s="83" t="e">
        <f>COUNTIFS('SPC-CPN_Q&amp;A'!#REF!,AV$1,'SPC-CPN_Q&amp;A'!#REF!,'Writing assignments'!$C19,'SPC-CPN_Q&amp;A'!$O:$O,"Application")</f>
        <v>#REF!</v>
      </c>
      <c r="BE19" s="83" t="e">
        <f>COUNTIFS('SPC-CPN_Q&amp;A'!#REF!,AV$1,'SPC-CPN_Q&amp;A'!#REF!,'Writing assignments'!$C19,'SPC-CPN_Q&amp;A'!$O:$O,"Analysis")</f>
        <v>#REF!</v>
      </c>
      <c r="BF19" s="82"/>
      <c r="BJ19" s="84"/>
      <c r="BL19" s="83" t="e">
        <f t="shared" si="8"/>
        <v>#REF!</v>
      </c>
      <c r="BM19" s="83" t="e">
        <f>COUNTIFS('SPC-CPN_Q&amp;A'!#REF!,BF$1,'SPC-CPN_Q&amp;A'!#REF!,'Writing assignments'!$C19,'SPC-CPN_Q&amp;A'!$O:$O,"Recall")</f>
        <v>#REF!</v>
      </c>
      <c r="BN19" s="83" t="e">
        <f>COUNTIFS('SPC-CPN_Q&amp;A'!#REF!,BF$1,'SPC-CPN_Q&amp;A'!#REF!,'Writing assignments'!$C19,'SPC-CPN_Q&amp;A'!$O:$O,"Application")</f>
        <v>#REF!</v>
      </c>
      <c r="BO19" s="83" t="e">
        <f>COUNTIFS('SPC-CPN_Q&amp;A'!#REF!,BF$1,'SPC-CPN_Q&amp;A'!#REF!,'Writing assignments'!$C19,'SPC-CPN_Q&amp;A'!$O:$O,"Analysis")</f>
        <v>#REF!</v>
      </c>
      <c r="BP19" s="82"/>
      <c r="BT19" s="84"/>
      <c r="BV19" s="83" t="e">
        <f t="shared" si="9"/>
        <v>#REF!</v>
      </c>
      <c r="BW19" s="83" t="e">
        <f>COUNTIFS('SPC-CPN_Q&amp;A'!#REF!,BP$1,'SPC-CPN_Q&amp;A'!#REF!,'Writing assignments'!$C19,'SPC-CPN_Q&amp;A'!$O:$O,"Recall")</f>
        <v>#REF!</v>
      </c>
      <c r="BX19" s="83" t="e">
        <f>COUNTIFS('SPC-CPN_Q&amp;A'!#REF!,BP$1,'SPC-CPN_Q&amp;A'!#REF!,'Writing assignments'!$C19,'SPC-CPN_Q&amp;A'!$O:$O,"Application")</f>
        <v>#REF!</v>
      </c>
      <c r="BY19" s="83" t="e">
        <f>COUNTIFS('SPC-CPN_Q&amp;A'!#REF!,BP$1,'SPC-CPN_Q&amp;A'!#REF!,'Writing assignments'!$C19,'SPC-CPN_Q&amp;A'!$O:$O,"Analysis")</f>
        <v>#REF!</v>
      </c>
      <c r="CA19" s="83">
        <v>0</v>
      </c>
    </row>
    <row r="20" spans="2:79" x14ac:dyDescent="0.25">
      <c r="B20" s="74" t="s">
        <v>3573</v>
      </c>
      <c r="C20" s="74" t="s">
        <v>3589</v>
      </c>
      <c r="D20" s="6"/>
      <c r="E20" s="6">
        <v>1</v>
      </c>
      <c r="F20" s="6">
        <v>6</v>
      </c>
      <c r="G20" s="6">
        <v>3</v>
      </c>
      <c r="H20" s="6">
        <f t="shared" si="2"/>
        <v>10</v>
      </c>
      <c r="J20" s="42">
        <f t="shared" si="1"/>
        <v>0</v>
      </c>
      <c r="K20" s="82" t="s">
        <v>71</v>
      </c>
      <c r="L20" s="84">
        <v>2</v>
      </c>
      <c r="M20" s="82"/>
      <c r="N20" s="83">
        <f t="shared" si="3"/>
        <v>0</v>
      </c>
      <c r="S20" s="83" t="e">
        <f t="shared" si="4"/>
        <v>#REF!</v>
      </c>
      <c r="T20" s="83" t="e">
        <f>COUNTIFS('SPC-CPN_Q&amp;A'!#REF!,M$1,'SPC-CPN_Q&amp;A'!#REF!,'Writing assignments'!$C20,'SPC-CPN_Q&amp;A'!$O:$O,"Recall")</f>
        <v>#REF!</v>
      </c>
      <c r="U20" s="83" t="e">
        <f>COUNTIFS('SPC-CPN_Q&amp;A'!#REF!,M$1,'SPC-CPN_Q&amp;A'!#REF!,'Writing assignments'!$C20,'SPC-CPN_Q&amp;A'!$O:$O,"Application")</f>
        <v>#REF!</v>
      </c>
      <c r="V20" s="84" t="e">
        <f>COUNTIFS('SPC-CPN_Q&amp;A'!#REF!,M$1,'SPC-CPN_Q&amp;A'!#REF!,'Writing assignments'!$C20,'SPC-CPN_Q&amp;A'!$O:$O,"Analysis")</f>
        <v>#REF!</v>
      </c>
      <c r="AA20" s="84"/>
      <c r="AC20" s="83" t="e">
        <f t="shared" si="5"/>
        <v>#REF!</v>
      </c>
      <c r="AD20" s="83" t="e">
        <f>COUNTIFS('SPC-CPN_Q&amp;A'!#REF!,W$1,'SPC-CPN_Q&amp;A'!#REF!,'Writing assignments'!$C20,'SPC-CPN_Q&amp;A'!$O:$O,"Recall")</f>
        <v>#REF!</v>
      </c>
      <c r="AE20" s="83" t="e">
        <f>COUNTIFS('SPC-CPN_Q&amp;A'!#REF!,W$1,'SPC-CPN_Q&amp;A'!#REF!,'Writing assignments'!$C20,'SPC-CPN_Q&amp;A'!$O:$O,"Application")</f>
        <v>#REF!</v>
      </c>
      <c r="AF20" s="83" t="e">
        <f>COUNTIFS('SPC-CPN_Q&amp;A'!#REF!,W$1,'SPC-CPN_Q&amp;A'!#REF!,'Writing assignments'!$C20,'SPC-CPN_Q&amp;A'!$O:$O,"Analysis")</f>
        <v>#REF!</v>
      </c>
      <c r="AG20" s="82" t="s">
        <v>71</v>
      </c>
      <c r="AH20" s="83">
        <v>3</v>
      </c>
      <c r="AI20" s="83">
        <v>0</v>
      </c>
      <c r="AJ20" s="83">
        <v>2</v>
      </c>
      <c r="AK20" s="84">
        <v>1</v>
      </c>
      <c r="AM20" s="83" t="e">
        <f t="shared" si="6"/>
        <v>#REF!</v>
      </c>
      <c r="AN20" s="83" t="e">
        <f>COUNTIFS('SPC-CPN_Q&amp;A'!#REF!,AG$1,'SPC-CPN_Q&amp;A'!#REF!,'Writing assignments'!$C20,'SPC-CPN_Q&amp;A'!$O:$O,"Recall")</f>
        <v>#REF!</v>
      </c>
      <c r="AO20" s="83" t="e">
        <f>COUNTIFS('SPC-CPN_Q&amp;A'!#REF!,AG$1,'SPC-CPN_Q&amp;A'!#REF!,'Writing assignments'!$C20,'SPC-CPN_Q&amp;A'!$O:$O,"Application")</f>
        <v>#REF!</v>
      </c>
      <c r="AP20" s="83" t="e">
        <f>COUNTIFS('SPC-CPN_Q&amp;A'!#REF!,AG$1,'SPC-CPN_Q&amp;A'!#REF!,'Writing assignments'!$C20,'SPC-CPN_Q&amp;A'!$O:$O,"Analysis")</f>
        <v>#REF!</v>
      </c>
      <c r="AQ20" s="82"/>
      <c r="AS20" s="83">
        <v>0</v>
      </c>
      <c r="AT20" s="83">
        <v>0</v>
      </c>
      <c r="AU20" s="84">
        <v>0</v>
      </c>
      <c r="BB20" s="83" t="e">
        <f t="shared" si="7"/>
        <v>#REF!</v>
      </c>
      <c r="BC20" s="83" t="e">
        <f>COUNTIFS('SPC-CPN_Q&amp;A'!#REF!,AV$1,'SPC-CPN_Q&amp;A'!#REF!,'Writing assignments'!$C20,'SPC-CPN_Q&amp;A'!$O:$O,"Recall")</f>
        <v>#REF!</v>
      </c>
      <c r="BD20" s="83" t="e">
        <f>COUNTIFS('SPC-CPN_Q&amp;A'!#REF!,AV$1,'SPC-CPN_Q&amp;A'!#REF!,'Writing assignments'!$C20,'SPC-CPN_Q&amp;A'!$O:$O,"Application")</f>
        <v>#REF!</v>
      </c>
      <c r="BE20" s="83" t="e">
        <f>COUNTIFS('SPC-CPN_Q&amp;A'!#REF!,AV$1,'SPC-CPN_Q&amp;A'!#REF!,'Writing assignments'!$C20,'SPC-CPN_Q&amp;A'!$O:$O,"Analysis")</f>
        <v>#REF!</v>
      </c>
      <c r="BF20" s="82" t="s">
        <v>71</v>
      </c>
      <c r="BG20" s="83">
        <v>2</v>
      </c>
      <c r="BH20" s="83">
        <v>0</v>
      </c>
      <c r="BI20" s="83">
        <v>1</v>
      </c>
      <c r="BJ20" s="84">
        <v>1</v>
      </c>
      <c r="BL20" s="83" t="e">
        <f t="shared" si="8"/>
        <v>#REF!</v>
      </c>
      <c r="BM20" s="83" t="e">
        <f>COUNTIFS('SPC-CPN_Q&amp;A'!#REF!,BF$1,'SPC-CPN_Q&amp;A'!#REF!,'Writing assignments'!$C20,'SPC-CPN_Q&amp;A'!$O:$O,"Recall")</f>
        <v>#REF!</v>
      </c>
      <c r="BN20" s="83" t="e">
        <f>COUNTIFS('SPC-CPN_Q&amp;A'!#REF!,BF$1,'SPC-CPN_Q&amp;A'!#REF!,'Writing assignments'!$C20,'SPC-CPN_Q&amp;A'!$O:$O,"Application")</f>
        <v>#REF!</v>
      </c>
      <c r="BO20" s="83" t="e">
        <f>COUNTIFS('SPC-CPN_Q&amp;A'!#REF!,BF$1,'SPC-CPN_Q&amp;A'!#REF!,'Writing assignments'!$C20,'SPC-CPN_Q&amp;A'!$O:$O,"Analysis")</f>
        <v>#REF!</v>
      </c>
      <c r="BP20" s="82" t="s">
        <v>71</v>
      </c>
      <c r="BQ20" s="83">
        <v>3</v>
      </c>
      <c r="BR20" s="83">
        <v>1</v>
      </c>
      <c r="BS20" s="83">
        <v>1</v>
      </c>
      <c r="BT20" s="84">
        <v>1</v>
      </c>
      <c r="BV20" s="83" t="e">
        <f t="shared" si="9"/>
        <v>#REF!</v>
      </c>
      <c r="BW20" s="83" t="e">
        <f>COUNTIFS('SPC-CPN_Q&amp;A'!#REF!,BP$1,'SPC-CPN_Q&amp;A'!#REF!,'Writing assignments'!$C20,'SPC-CPN_Q&amp;A'!$O:$O,"Recall")</f>
        <v>#REF!</v>
      </c>
      <c r="BX20" s="83" t="e">
        <f>COUNTIFS('SPC-CPN_Q&amp;A'!#REF!,BP$1,'SPC-CPN_Q&amp;A'!#REF!,'Writing assignments'!$C20,'SPC-CPN_Q&amp;A'!$O:$O,"Application")</f>
        <v>#REF!</v>
      </c>
      <c r="BY20" s="83" t="e">
        <f>COUNTIFS('SPC-CPN_Q&amp;A'!#REF!,BP$1,'SPC-CPN_Q&amp;A'!#REF!,'Writing assignments'!$C20,'SPC-CPN_Q&amp;A'!$O:$O,"Analysis")</f>
        <v>#REF!</v>
      </c>
      <c r="CA20" s="83">
        <v>0</v>
      </c>
    </row>
    <row r="21" spans="2:79" x14ac:dyDescent="0.25">
      <c r="B21" s="74" t="s">
        <v>3573</v>
      </c>
      <c r="C21" s="74" t="s">
        <v>3590</v>
      </c>
      <c r="D21" s="6"/>
      <c r="E21" s="6">
        <v>1</v>
      </c>
      <c r="F21" s="6">
        <v>6</v>
      </c>
      <c r="G21" s="6">
        <v>3</v>
      </c>
      <c r="H21" s="6">
        <f t="shared" si="2"/>
        <v>10</v>
      </c>
      <c r="J21" s="42">
        <f t="shared" si="1"/>
        <v>0</v>
      </c>
      <c r="K21" s="82"/>
      <c r="L21" s="84">
        <v>0</v>
      </c>
      <c r="M21" s="82"/>
      <c r="N21" s="83">
        <f t="shared" si="3"/>
        <v>0</v>
      </c>
      <c r="Q21" s="84"/>
      <c r="S21" s="83" t="e">
        <f t="shared" si="4"/>
        <v>#REF!</v>
      </c>
      <c r="T21" s="83" t="e">
        <f>COUNTIFS('SPC-CPN_Q&amp;A'!#REF!,M$1,'SPC-CPN_Q&amp;A'!#REF!,'Writing assignments'!$C21,'SPC-CPN_Q&amp;A'!$O:$O,"Recall")</f>
        <v>#REF!</v>
      </c>
      <c r="U21" s="83" t="e">
        <f>COUNTIFS('SPC-CPN_Q&amp;A'!#REF!,M$1,'SPC-CPN_Q&amp;A'!#REF!,'Writing assignments'!$C21,'SPC-CPN_Q&amp;A'!$O:$O,"Application")</f>
        <v>#REF!</v>
      </c>
      <c r="V21" s="84" t="e">
        <f>COUNTIFS('SPC-CPN_Q&amp;A'!#REF!,M$1,'SPC-CPN_Q&amp;A'!#REF!,'Writing assignments'!$C21,'SPC-CPN_Q&amp;A'!$O:$O,"Analysis")</f>
        <v>#REF!</v>
      </c>
      <c r="W21" s="83" t="s">
        <v>71</v>
      </c>
      <c r="X21" s="83">
        <v>3</v>
      </c>
      <c r="Y21" s="83">
        <v>1</v>
      </c>
      <c r="Z21" s="83">
        <v>1</v>
      </c>
      <c r="AA21" s="84">
        <v>1</v>
      </c>
      <c r="AC21" s="83" t="e">
        <f t="shared" si="5"/>
        <v>#REF!</v>
      </c>
      <c r="AD21" s="83" t="e">
        <f>COUNTIFS('SPC-CPN_Q&amp;A'!#REF!,W$1,'SPC-CPN_Q&amp;A'!#REF!,'Writing assignments'!$C21,'SPC-CPN_Q&amp;A'!$O:$O,"Recall")</f>
        <v>#REF!</v>
      </c>
      <c r="AE21" s="83" t="e">
        <f>COUNTIFS('SPC-CPN_Q&amp;A'!#REF!,W$1,'SPC-CPN_Q&amp;A'!#REF!,'Writing assignments'!$C21,'SPC-CPN_Q&amp;A'!$O:$O,"Application")</f>
        <v>#REF!</v>
      </c>
      <c r="AF21" s="83" t="e">
        <f>COUNTIFS('SPC-CPN_Q&amp;A'!#REF!,W$1,'SPC-CPN_Q&amp;A'!#REF!,'Writing assignments'!$C21,'SPC-CPN_Q&amp;A'!$O:$O,"Analysis")</f>
        <v>#REF!</v>
      </c>
      <c r="AG21" s="82" t="s">
        <v>71</v>
      </c>
      <c r="AH21" s="83">
        <v>3</v>
      </c>
      <c r="AI21" s="83">
        <v>0</v>
      </c>
      <c r="AJ21" s="83">
        <v>2</v>
      </c>
      <c r="AK21" s="84">
        <v>1</v>
      </c>
      <c r="AM21" s="83" t="e">
        <f t="shared" si="6"/>
        <v>#REF!</v>
      </c>
      <c r="AN21" s="83" t="e">
        <f>COUNTIFS('SPC-CPN_Q&amp;A'!#REF!,AG$1,'SPC-CPN_Q&amp;A'!#REF!,'Writing assignments'!$C21,'SPC-CPN_Q&amp;A'!$O:$O,"Recall")</f>
        <v>#REF!</v>
      </c>
      <c r="AO21" s="83" t="e">
        <f>COUNTIFS('SPC-CPN_Q&amp;A'!#REF!,AG$1,'SPC-CPN_Q&amp;A'!#REF!,'Writing assignments'!$C21,'SPC-CPN_Q&amp;A'!$O:$O,"Application")</f>
        <v>#REF!</v>
      </c>
      <c r="AP21" s="83" t="e">
        <f>COUNTIFS('SPC-CPN_Q&amp;A'!#REF!,AG$1,'SPC-CPN_Q&amp;A'!#REF!,'Writing assignments'!$C21,'SPC-CPN_Q&amp;A'!$O:$O,"Analysis")</f>
        <v>#REF!</v>
      </c>
      <c r="AQ21" s="82"/>
      <c r="AU21" s="84"/>
      <c r="AV21" s="82" t="s">
        <v>71</v>
      </c>
      <c r="AW21" s="83">
        <v>2</v>
      </c>
      <c r="AX21" s="83">
        <v>0</v>
      </c>
      <c r="AY21" s="83">
        <v>1</v>
      </c>
      <c r="AZ21" s="84">
        <v>1</v>
      </c>
      <c r="BB21" s="83" t="e">
        <f t="shared" si="7"/>
        <v>#REF!</v>
      </c>
      <c r="BC21" s="83" t="e">
        <f>COUNTIFS('SPC-CPN_Q&amp;A'!#REF!,AV$1,'SPC-CPN_Q&amp;A'!#REF!,'Writing assignments'!$C21,'SPC-CPN_Q&amp;A'!$O:$O,"Recall")</f>
        <v>#REF!</v>
      </c>
      <c r="BD21" s="83" t="e">
        <f>COUNTIFS('SPC-CPN_Q&amp;A'!#REF!,AV$1,'SPC-CPN_Q&amp;A'!#REF!,'Writing assignments'!$C21,'SPC-CPN_Q&amp;A'!$O:$O,"Application")</f>
        <v>#REF!</v>
      </c>
      <c r="BE21" s="83" t="e">
        <f>COUNTIFS('SPC-CPN_Q&amp;A'!#REF!,AV$1,'SPC-CPN_Q&amp;A'!#REF!,'Writing assignments'!$C21,'SPC-CPN_Q&amp;A'!$O:$O,"Analysis")</f>
        <v>#REF!</v>
      </c>
      <c r="BF21" s="82" t="s">
        <v>71</v>
      </c>
      <c r="BG21" s="83">
        <v>2</v>
      </c>
      <c r="BH21" s="83">
        <v>0</v>
      </c>
      <c r="BI21" s="83">
        <v>2</v>
      </c>
      <c r="BJ21" s="84">
        <v>0</v>
      </c>
      <c r="BL21" s="83" t="e">
        <f t="shared" si="8"/>
        <v>#REF!</v>
      </c>
      <c r="BM21" s="83" t="e">
        <f>COUNTIFS('SPC-CPN_Q&amp;A'!#REF!,BF$1,'SPC-CPN_Q&amp;A'!#REF!,'Writing assignments'!$C21,'SPC-CPN_Q&amp;A'!$O:$O,"Recall")</f>
        <v>#REF!</v>
      </c>
      <c r="BN21" s="83" t="e">
        <f>COUNTIFS('SPC-CPN_Q&amp;A'!#REF!,BF$1,'SPC-CPN_Q&amp;A'!#REF!,'Writing assignments'!$C21,'SPC-CPN_Q&amp;A'!$O:$O,"Application")</f>
        <v>#REF!</v>
      </c>
      <c r="BO21" s="83" t="e">
        <f>COUNTIFS('SPC-CPN_Q&amp;A'!#REF!,BF$1,'SPC-CPN_Q&amp;A'!#REF!,'Writing assignments'!$C21,'SPC-CPN_Q&amp;A'!$O:$O,"Analysis")</f>
        <v>#REF!</v>
      </c>
      <c r="BP21" s="82"/>
      <c r="BT21" s="84"/>
      <c r="BV21" s="83" t="e">
        <f t="shared" si="9"/>
        <v>#REF!</v>
      </c>
      <c r="BW21" s="83" t="e">
        <f>COUNTIFS('SPC-CPN_Q&amp;A'!#REF!,BP$1,'SPC-CPN_Q&amp;A'!#REF!,'Writing assignments'!$C21,'SPC-CPN_Q&amp;A'!$O:$O,"Recall")</f>
        <v>#REF!</v>
      </c>
      <c r="BX21" s="83" t="e">
        <f>COUNTIFS('SPC-CPN_Q&amp;A'!#REF!,BP$1,'SPC-CPN_Q&amp;A'!#REF!,'Writing assignments'!$C21,'SPC-CPN_Q&amp;A'!$O:$O,"Application")</f>
        <v>#REF!</v>
      </c>
      <c r="BY21" s="83" t="e">
        <f>COUNTIFS('SPC-CPN_Q&amp;A'!#REF!,BP$1,'SPC-CPN_Q&amp;A'!#REF!,'Writing assignments'!$C21,'SPC-CPN_Q&amp;A'!$O:$O,"Analysis")</f>
        <v>#REF!</v>
      </c>
      <c r="CA21" s="83">
        <v>0</v>
      </c>
    </row>
    <row r="22" spans="2:79" x14ac:dyDescent="0.25">
      <c r="B22" s="74" t="s">
        <v>3573</v>
      </c>
      <c r="C22" s="74" t="s">
        <v>3591</v>
      </c>
      <c r="D22" s="6"/>
      <c r="E22" s="6">
        <v>1</v>
      </c>
      <c r="F22" s="6">
        <v>6</v>
      </c>
      <c r="G22" s="6">
        <v>3</v>
      </c>
      <c r="H22" s="6">
        <f t="shared" si="2"/>
        <v>10</v>
      </c>
      <c r="J22" s="42">
        <f t="shared" si="1"/>
        <v>0</v>
      </c>
      <c r="K22" s="82" t="s">
        <v>71</v>
      </c>
      <c r="L22" s="84">
        <v>1</v>
      </c>
      <c r="M22" s="82" t="s">
        <v>71</v>
      </c>
      <c r="N22" s="83">
        <f t="shared" si="3"/>
        <v>1</v>
      </c>
      <c r="P22" s="83">
        <v>1</v>
      </c>
      <c r="Q22" s="84"/>
      <c r="S22" s="83" t="e">
        <f t="shared" si="4"/>
        <v>#REF!</v>
      </c>
      <c r="T22" s="83" t="e">
        <f>COUNTIFS('SPC-CPN_Q&amp;A'!#REF!,M$1,'SPC-CPN_Q&amp;A'!#REF!,'Writing assignments'!$C22,'SPC-CPN_Q&amp;A'!$O:$O,"Recall")</f>
        <v>#REF!</v>
      </c>
      <c r="U22" s="83" t="e">
        <f>COUNTIFS('SPC-CPN_Q&amp;A'!#REF!,M$1,'SPC-CPN_Q&amp;A'!#REF!,'Writing assignments'!$C22,'SPC-CPN_Q&amp;A'!$O:$O,"Application")</f>
        <v>#REF!</v>
      </c>
      <c r="V22" s="84" t="e">
        <f>COUNTIFS('SPC-CPN_Q&amp;A'!#REF!,M$1,'SPC-CPN_Q&amp;A'!#REF!,'Writing assignments'!$C22,'SPC-CPN_Q&amp;A'!$O:$O,"Analysis")</f>
        <v>#REF!</v>
      </c>
      <c r="W22" s="83" t="s">
        <v>71</v>
      </c>
      <c r="X22" s="83">
        <v>3</v>
      </c>
      <c r="Y22" s="83">
        <v>0</v>
      </c>
      <c r="Z22" s="83">
        <v>2</v>
      </c>
      <c r="AA22" s="84">
        <v>1</v>
      </c>
      <c r="AC22" s="83" t="e">
        <f t="shared" si="5"/>
        <v>#REF!</v>
      </c>
      <c r="AD22" s="83" t="e">
        <f>COUNTIFS('SPC-CPN_Q&amp;A'!#REF!,W$1,'SPC-CPN_Q&amp;A'!#REF!,'Writing assignments'!$C22,'SPC-CPN_Q&amp;A'!$O:$O,"Recall")</f>
        <v>#REF!</v>
      </c>
      <c r="AE22" s="83" t="e">
        <f>COUNTIFS('SPC-CPN_Q&amp;A'!#REF!,W$1,'SPC-CPN_Q&amp;A'!#REF!,'Writing assignments'!$C22,'SPC-CPN_Q&amp;A'!$O:$O,"Application")</f>
        <v>#REF!</v>
      </c>
      <c r="AF22" s="83" t="e">
        <f>COUNTIFS('SPC-CPN_Q&amp;A'!#REF!,W$1,'SPC-CPN_Q&amp;A'!#REF!,'Writing assignments'!$C22,'SPC-CPN_Q&amp;A'!$O:$O,"Analysis")</f>
        <v>#REF!</v>
      </c>
      <c r="AG22" s="82"/>
      <c r="AK22" s="84"/>
      <c r="AM22" s="83" t="e">
        <f t="shared" si="6"/>
        <v>#REF!</v>
      </c>
      <c r="AN22" s="83" t="e">
        <f>COUNTIFS('SPC-CPN_Q&amp;A'!#REF!,AG$1,'SPC-CPN_Q&amp;A'!#REF!,'Writing assignments'!$C22,'SPC-CPN_Q&amp;A'!$O:$O,"Recall")</f>
        <v>#REF!</v>
      </c>
      <c r="AO22" s="83" t="e">
        <f>COUNTIFS('SPC-CPN_Q&amp;A'!#REF!,AG$1,'SPC-CPN_Q&amp;A'!#REF!,'Writing assignments'!$C22,'SPC-CPN_Q&amp;A'!$O:$O,"Application")</f>
        <v>#REF!</v>
      </c>
      <c r="AP22" s="83" t="e">
        <f>COUNTIFS('SPC-CPN_Q&amp;A'!#REF!,AG$1,'SPC-CPN_Q&amp;A'!#REF!,'Writing assignments'!$C22,'SPC-CPN_Q&amp;A'!$O:$O,"Analysis")</f>
        <v>#REF!</v>
      </c>
      <c r="AQ22" s="82" t="s">
        <v>71</v>
      </c>
      <c r="AR22" s="83">
        <v>1</v>
      </c>
      <c r="AS22" s="83">
        <v>0</v>
      </c>
      <c r="AT22" s="83">
        <v>1</v>
      </c>
      <c r="AU22" s="84">
        <v>0</v>
      </c>
      <c r="AV22" s="82"/>
      <c r="AZ22" s="84"/>
      <c r="BB22" s="83" t="e">
        <f t="shared" si="7"/>
        <v>#REF!</v>
      </c>
      <c r="BC22" s="83" t="e">
        <f>COUNTIFS('SPC-CPN_Q&amp;A'!#REF!,AV$1,'SPC-CPN_Q&amp;A'!#REF!,'Writing assignments'!$C22,'SPC-CPN_Q&amp;A'!$O:$O,"Recall")</f>
        <v>#REF!</v>
      </c>
      <c r="BD22" s="83" t="e">
        <f>COUNTIFS('SPC-CPN_Q&amp;A'!#REF!,AV$1,'SPC-CPN_Q&amp;A'!#REF!,'Writing assignments'!$C22,'SPC-CPN_Q&amp;A'!$O:$O,"Application")</f>
        <v>#REF!</v>
      </c>
      <c r="BE22" s="83" t="e">
        <f>COUNTIFS('SPC-CPN_Q&amp;A'!#REF!,AV$1,'SPC-CPN_Q&amp;A'!#REF!,'Writing assignments'!$C22,'SPC-CPN_Q&amp;A'!$O:$O,"Analysis")</f>
        <v>#REF!</v>
      </c>
      <c r="BF22" s="82" t="s">
        <v>71</v>
      </c>
      <c r="BG22" s="83">
        <v>2</v>
      </c>
      <c r="BH22" s="83">
        <v>1</v>
      </c>
      <c r="BI22" s="83">
        <v>1</v>
      </c>
      <c r="BJ22" s="84">
        <v>0</v>
      </c>
      <c r="BL22" s="83" t="e">
        <f t="shared" si="8"/>
        <v>#REF!</v>
      </c>
      <c r="BM22" s="83" t="e">
        <f>COUNTIFS('SPC-CPN_Q&amp;A'!#REF!,BF$1,'SPC-CPN_Q&amp;A'!#REF!,'Writing assignments'!$C22,'SPC-CPN_Q&amp;A'!$O:$O,"Recall")</f>
        <v>#REF!</v>
      </c>
      <c r="BN22" s="83" t="e">
        <f>COUNTIFS('SPC-CPN_Q&amp;A'!#REF!,BF$1,'SPC-CPN_Q&amp;A'!#REF!,'Writing assignments'!$C22,'SPC-CPN_Q&amp;A'!$O:$O,"Application")</f>
        <v>#REF!</v>
      </c>
      <c r="BO22" s="83" t="e">
        <f>COUNTIFS('SPC-CPN_Q&amp;A'!#REF!,BF$1,'SPC-CPN_Q&amp;A'!#REF!,'Writing assignments'!$C22,'SPC-CPN_Q&amp;A'!$O:$O,"Analysis")</f>
        <v>#REF!</v>
      </c>
      <c r="BP22" s="82" t="s">
        <v>71</v>
      </c>
      <c r="BQ22" s="83">
        <v>3</v>
      </c>
      <c r="BR22" s="83">
        <v>0</v>
      </c>
      <c r="BS22" s="83">
        <v>2</v>
      </c>
      <c r="BT22" s="84">
        <v>1</v>
      </c>
      <c r="BV22" s="83" t="e">
        <f t="shared" si="9"/>
        <v>#REF!</v>
      </c>
      <c r="BW22" s="83" t="e">
        <f>COUNTIFS('SPC-CPN_Q&amp;A'!#REF!,BP$1,'SPC-CPN_Q&amp;A'!#REF!,'Writing assignments'!$C22,'SPC-CPN_Q&amp;A'!$O:$O,"Recall")</f>
        <v>#REF!</v>
      </c>
      <c r="BX22" s="83" t="e">
        <f>COUNTIFS('SPC-CPN_Q&amp;A'!#REF!,BP$1,'SPC-CPN_Q&amp;A'!#REF!,'Writing assignments'!$C22,'SPC-CPN_Q&amp;A'!$O:$O,"Application")</f>
        <v>#REF!</v>
      </c>
      <c r="BY22" s="83" t="e">
        <f>COUNTIFS('SPC-CPN_Q&amp;A'!#REF!,BP$1,'SPC-CPN_Q&amp;A'!#REF!,'Writing assignments'!$C22,'SPC-CPN_Q&amp;A'!$O:$O,"Analysis")</f>
        <v>#REF!</v>
      </c>
      <c r="CA22" s="83">
        <v>0</v>
      </c>
    </row>
    <row r="23" spans="2:79" x14ac:dyDescent="0.25">
      <c r="B23" s="74" t="s">
        <v>3592</v>
      </c>
      <c r="C23" s="74" t="s">
        <v>3593</v>
      </c>
      <c r="D23" s="6"/>
      <c r="E23" s="6">
        <v>1</v>
      </c>
      <c r="F23" s="6">
        <v>4</v>
      </c>
      <c r="G23" s="6">
        <v>2</v>
      </c>
      <c r="H23" s="6">
        <f t="shared" si="2"/>
        <v>7</v>
      </c>
      <c r="J23" s="42">
        <f t="shared" si="1"/>
        <v>0</v>
      </c>
      <c r="K23" s="82" t="s">
        <v>71</v>
      </c>
      <c r="L23" s="84">
        <v>1</v>
      </c>
      <c r="M23" s="82"/>
      <c r="N23" s="83">
        <f t="shared" si="3"/>
        <v>0</v>
      </c>
      <c r="S23" s="83" t="e">
        <f t="shared" si="4"/>
        <v>#REF!</v>
      </c>
      <c r="T23" s="83" t="e">
        <f>COUNTIFS('SPC-CPN_Q&amp;A'!#REF!,M$1,'SPC-CPN_Q&amp;A'!#REF!,'Writing assignments'!$C23,'SPC-CPN_Q&amp;A'!$O:$O,"Recall")</f>
        <v>#REF!</v>
      </c>
      <c r="U23" s="83" t="e">
        <f>COUNTIFS('SPC-CPN_Q&amp;A'!#REF!,M$1,'SPC-CPN_Q&amp;A'!#REF!,'Writing assignments'!$C23,'SPC-CPN_Q&amp;A'!$O:$O,"Application")</f>
        <v>#REF!</v>
      </c>
      <c r="V23" s="84" t="e">
        <f>COUNTIFS('SPC-CPN_Q&amp;A'!#REF!,M$1,'SPC-CPN_Q&amp;A'!#REF!,'Writing assignments'!$C23,'SPC-CPN_Q&amp;A'!$O:$O,"Analysis")</f>
        <v>#REF!</v>
      </c>
      <c r="W23" s="83" t="s">
        <v>71</v>
      </c>
      <c r="X23" s="83">
        <v>2</v>
      </c>
      <c r="Y23" s="83">
        <v>0</v>
      </c>
      <c r="Z23" s="83">
        <v>1</v>
      </c>
      <c r="AA23" s="84">
        <v>1</v>
      </c>
      <c r="AC23" s="83" t="e">
        <f t="shared" si="5"/>
        <v>#REF!</v>
      </c>
      <c r="AD23" s="83" t="e">
        <f>COUNTIFS('SPC-CPN_Q&amp;A'!#REF!,W$1,'SPC-CPN_Q&amp;A'!#REF!,'Writing assignments'!$C23,'SPC-CPN_Q&amp;A'!$O:$O,"Recall")</f>
        <v>#REF!</v>
      </c>
      <c r="AE23" s="83" t="e">
        <f>COUNTIFS('SPC-CPN_Q&amp;A'!#REF!,W$1,'SPC-CPN_Q&amp;A'!#REF!,'Writing assignments'!$C23,'SPC-CPN_Q&amp;A'!$O:$O,"Application")</f>
        <v>#REF!</v>
      </c>
      <c r="AF23" s="83" t="e">
        <f>COUNTIFS('SPC-CPN_Q&amp;A'!#REF!,W$1,'SPC-CPN_Q&amp;A'!#REF!,'Writing assignments'!$C23,'SPC-CPN_Q&amp;A'!$O:$O,"Analysis")</f>
        <v>#REF!</v>
      </c>
      <c r="AG23" s="82" t="s">
        <v>71</v>
      </c>
      <c r="AH23" s="83">
        <v>2</v>
      </c>
      <c r="AI23" s="83">
        <v>1</v>
      </c>
      <c r="AJ23" s="83">
        <v>1</v>
      </c>
      <c r="AK23" s="84"/>
      <c r="AM23" s="83" t="e">
        <f t="shared" si="6"/>
        <v>#REF!</v>
      </c>
      <c r="AN23" s="83" t="e">
        <f>COUNTIFS('SPC-CPN_Q&amp;A'!#REF!,AG$1,'SPC-CPN_Q&amp;A'!#REF!,'Writing assignments'!$C23,'SPC-CPN_Q&amp;A'!$O:$O,"Recall")</f>
        <v>#REF!</v>
      </c>
      <c r="AO23" s="83" t="e">
        <f>COUNTIFS('SPC-CPN_Q&amp;A'!#REF!,AG$1,'SPC-CPN_Q&amp;A'!#REF!,'Writing assignments'!$C23,'SPC-CPN_Q&amp;A'!$O:$O,"Application")</f>
        <v>#REF!</v>
      </c>
      <c r="AP23" s="83" t="e">
        <f>COUNTIFS('SPC-CPN_Q&amp;A'!#REF!,AG$1,'SPC-CPN_Q&amp;A'!#REF!,'Writing assignments'!$C23,'SPC-CPN_Q&amp;A'!$O:$O,"Analysis")</f>
        <v>#REF!</v>
      </c>
      <c r="AQ23" s="82"/>
      <c r="AR23" s="83">
        <v>0</v>
      </c>
      <c r="AU23" s="84"/>
      <c r="BB23" s="83" t="e">
        <f t="shared" si="7"/>
        <v>#REF!</v>
      </c>
      <c r="BC23" s="83" t="e">
        <f>COUNTIFS('SPC-CPN_Q&amp;A'!#REF!,AV$1,'SPC-CPN_Q&amp;A'!#REF!,'Writing assignments'!$C23,'SPC-CPN_Q&amp;A'!$O:$O,"Recall")</f>
        <v>#REF!</v>
      </c>
      <c r="BD23" s="83" t="e">
        <f>COUNTIFS('SPC-CPN_Q&amp;A'!#REF!,AV$1,'SPC-CPN_Q&amp;A'!#REF!,'Writing assignments'!$C23,'SPC-CPN_Q&amp;A'!$O:$O,"Application")</f>
        <v>#REF!</v>
      </c>
      <c r="BE23" s="83" t="e">
        <f>COUNTIFS('SPC-CPN_Q&amp;A'!#REF!,AV$1,'SPC-CPN_Q&amp;A'!#REF!,'Writing assignments'!$C23,'SPC-CPN_Q&amp;A'!$O:$O,"Analysis")</f>
        <v>#REF!</v>
      </c>
      <c r="BF23" s="82"/>
      <c r="BJ23" s="84"/>
      <c r="BL23" s="83" t="e">
        <f t="shared" si="8"/>
        <v>#REF!</v>
      </c>
      <c r="BM23" s="83" t="e">
        <f>COUNTIFS('SPC-CPN_Q&amp;A'!#REF!,BF$1,'SPC-CPN_Q&amp;A'!#REF!,'Writing assignments'!$C23,'SPC-CPN_Q&amp;A'!$O:$O,"Recall")</f>
        <v>#REF!</v>
      </c>
      <c r="BN23" s="83" t="e">
        <f>COUNTIFS('SPC-CPN_Q&amp;A'!#REF!,BF$1,'SPC-CPN_Q&amp;A'!#REF!,'Writing assignments'!$C23,'SPC-CPN_Q&amp;A'!$O:$O,"Application")</f>
        <v>#REF!</v>
      </c>
      <c r="BO23" s="83" t="e">
        <f>COUNTIFS('SPC-CPN_Q&amp;A'!#REF!,BF$1,'SPC-CPN_Q&amp;A'!#REF!,'Writing assignments'!$C23,'SPC-CPN_Q&amp;A'!$O:$O,"Analysis")</f>
        <v>#REF!</v>
      </c>
      <c r="BP23" s="82" t="s">
        <v>71</v>
      </c>
      <c r="BQ23" s="83">
        <v>2</v>
      </c>
      <c r="BR23" s="83">
        <v>0</v>
      </c>
      <c r="BS23" s="83">
        <v>1</v>
      </c>
      <c r="BT23" s="84">
        <v>1</v>
      </c>
      <c r="BV23" s="83" t="e">
        <f t="shared" si="9"/>
        <v>#REF!</v>
      </c>
      <c r="BW23" s="83" t="e">
        <f>COUNTIFS('SPC-CPN_Q&amp;A'!#REF!,BP$1,'SPC-CPN_Q&amp;A'!#REF!,'Writing assignments'!$C23,'SPC-CPN_Q&amp;A'!$O:$O,"Recall")</f>
        <v>#REF!</v>
      </c>
      <c r="BX23" s="83" t="e">
        <f>COUNTIFS('SPC-CPN_Q&amp;A'!#REF!,BP$1,'SPC-CPN_Q&amp;A'!#REF!,'Writing assignments'!$C23,'SPC-CPN_Q&amp;A'!$O:$O,"Application")</f>
        <v>#REF!</v>
      </c>
      <c r="BY23" s="83" t="e">
        <f>COUNTIFS('SPC-CPN_Q&amp;A'!#REF!,BP$1,'SPC-CPN_Q&amp;A'!#REF!,'Writing assignments'!$C23,'SPC-CPN_Q&amp;A'!$O:$O,"Analysis")</f>
        <v>#REF!</v>
      </c>
      <c r="CA23" s="83">
        <v>0</v>
      </c>
    </row>
    <row r="24" spans="2:79" x14ac:dyDescent="0.25">
      <c r="B24" s="74" t="s">
        <v>3592</v>
      </c>
      <c r="C24" s="74" t="s">
        <v>3594</v>
      </c>
      <c r="D24" s="6"/>
      <c r="E24" s="6">
        <v>2</v>
      </c>
      <c r="F24" s="6">
        <v>6</v>
      </c>
      <c r="G24" s="6">
        <v>3</v>
      </c>
      <c r="H24" s="6">
        <f t="shared" si="2"/>
        <v>11</v>
      </c>
      <c r="J24" s="42">
        <f t="shared" si="1"/>
        <v>0</v>
      </c>
      <c r="K24" s="82" t="s">
        <v>71</v>
      </c>
      <c r="L24" s="84">
        <v>1</v>
      </c>
      <c r="M24" s="82" t="s">
        <v>71</v>
      </c>
      <c r="N24" s="83">
        <f t="shared" si="3"/>
        <v>2</v>
      </c>
      <c r="O24" s="83">
        <v>1</v>
      </c>
      <c r="P24" s="83">
        <v>1</v>
      </c>
      <c r="S24" s="83" t="e">
        <f t="shared" si="4"/>
        <v>#REF!</v>
      </c>
      <c r="T24" s="83" t="e">
        <f>COUNTIFS('SPC-CPN_Q&amp;A'!#REF!,M$1,'SPC-CPN_Q&amp;A'!#REF!,'Writing assignments'!$C24,'SPC-CPN_Q&amp;A'!$O:$O,"Recall")</f>
        <v>#REF!</v>
      </c>
      <c r="U24" s="83" t="e">
        <f>COUNTIFS('SPC-CPN_Q&amp;A'!#REF!,M$1,'SPC-CPN_Q&amp;A'!#REF!,'Writing assignments'!$C24,'SPC-CPN_Q&amp;A'!$O:$O,"Application")</f>
        <v>#REF!</v>
      </c>
      <c r="V24" s="84" t="e">
        <f>COUNTIFS('SPC-CPN_Q&amp;A'!#REF!,M$1,'SPC-CPN_Q&amp;A'!#REF!,'Writing assignments'!$C24,'SPC-CPN_Q&amp;A'!$O:$O,"Analysis")</f>
        <v>#REF!</v>
      </c>
      <c r="W24" s="83" t="s">
        <v>71</v>
      </c>
      <c r="X24" s="83">
        <v>2</v>
      </c>
      <c r="Y24" s="83">
        <v>1</v>
      </c>
      <c r="Z24" s="83">
        <v>1</v>
      </c>
      <c r="AA24" s="84">
        <v>0</v>
      </c>
      <c r="AC24" s="83" t="e">
        <f t="shared" si="5"/>
        <v>#REF!</v>
      </c>
      <c r="AD24" s="83" t="e">
        <f>COUNTIFS('SPC-CPN_Q&amp;A'!#REF!,W$1,'SPC-CPN_Q&amp;A'!#REF!,'Writing assignments'!$C24,'SPC-CPN_Q&amp;A'!$O:$O,"Recall")</f>
        <v>#REF!</v>
      </c>
      <c r="AE24" s="83" t="e">
        <f>COUNTIFS('SPC-CPN_Q&amp;A'!#REF!,W$1,'SPC-CPN_Q&amp;A'!#REF!,'Writing assignments'!$C24,'SPC-CPN_Q&amp;A'!$O:$O,"Application")</f>
        <v>#REF!</v>
      </c>
      <c r="AF24" s="83" t="e">
        <f>COUNTIFS('SPC-CPN_Q&amp;A'!#REF!,W$1,'SPC-CPN_Q&amp;A'!#REF!,'Writing assignments'!$C24,'SPC-CPN_Q&amp;A'!$O:$O,"Analysis")</f>
        <v>#REF!</v>
      </c>
      <c r="AG24" s="82" t="s">
        <v>71</v>
      </c>
      <c r="AH24" s="83">
        <v>2</v>
      </c>
      <c r="AI24" s="83">
        <v>0</v>
      </c>
      <c r="AJ24" s="83">
        <v>1</v>
      </c>
      <c r="AK24" s="84">
        <v>1</v>
      </c>
      <c r="AM24" s="83" t="e">
        <f t="shared" si="6"/>
        <v>#REF!</v>
      </c>
      <c r="AN24" s="83" t="e">
        <f>COUNTIFS('SPC-CPN_Q&amp;A'!#REF!,AG$1,'SPC-CPN_Q&amp;A'!#REF!,'Writing assignments'!$C24,'SPC-CPN_Q&amp;A'!$O:$O,"Recall")</f>
        <v>#REF!</v>
      </c>
      <c r="AO24" s="83" t="e">
        <f>COUNTIFS('SPC-CPN_Q&amp;A'!#REF!,AG$1,'SPC-CPN_Q&amp;A'!#REF!,'Writing assignments'!$C24,'SPC-CPN_Q&amp;A'!$O:$O,"Application")</f>
        <v>#REF!</v>
      </c>
      <c r="AP24" s="83" t="e">
        <f>COUNTIFS('SPC-CPN_Q&amp;A'!#REF!,AG$1,'SPC-CPN_Q&amp;A'!#REF!,'Writing assignments'!$C24,'SPC-CPN_Q&amp;A'!$O:$O,"Analysis")</f>
        <v>#REF!</v>
      </c>
      <c r="AQ24" s="82" t="s">
        <v>71</v>
      </c>
      <c r="AR24" s="83">
        <v>2</v>
      </c>
      <c r="AS24" s="83">
        <v>1</v>
      </c>
      <c r="AT24" s="83">
        <v>1</v>
      </c>
      <c r="AU24" s="84">
        <v>0</v>
      </c>
      <c r="BB24" s="83" t="e">
        <f t="shared" si="7"/>
        <v>#REF!</v>
      </c>
      <c r="BC24" s="83" t="e">
        <f>COUNTIFS('SPC-CPN_Q&amp;A'!#REF!,AV$1,'SPC-CPN_Q&amp;A'!#REF!,'Writing assignments'!$C24,'SPC-CPN_Q&amp;A'!$O:$O,"Recall")</f>
        <v>#REF!</v>
      </c>
      <c r="BD24" s="83" t="e">
        <f>COUNTIFS('SPC-CPN_Q&amp;A'!#REF!,AV$1,'SPC-CPN_Q&amp;A'!#REF!,'Writing assignments'!$C24,'SPC-CPN_Q&amp;A'!$O:$O,"Application")</f>
        <v>#REF!</v>
      </c>
      <c r="BE24" s="83" t="e">
        <f>COUNTIFS('SPC-CPN_Q&amp;A'!#REF!,AV$1,'SPC-CPN_Q&amp;A'!#REF!,'Writing assignments'!$C24,'SPC-CPN_Q&amp;A'!$O:$O,"Analysis")</f>
        <v>#REF!</v>
      </c>
      <c r="BF24" s="82" t="s">
        <v>71</v>
      </c>
      <c r="BG24" s="83">
        <v>2</v>
      </c>
      <c r="BH24" s="83">
        <v>0</v>
      </c>
      <c r="BI24" s="83">
        <v>1</v>
      </c>
      <c r="BJ24" s="84">
        <v>1</v>
      </c>
      <c r="BL24" s="83" t="e">
        <f t="shared" si="8"/>
        <v>#REF!</v>
      </c>
      <c r="BM24" s="83" t="e">
        <f>COUNTIFS('SPC-CPN_Q&amp;A'!#REF!,BF$1,'SPC-CPN_Q&amp;A'!#REF!,'Writing assignments'!$C24,'SPC-CPN_Q&amp;A'!$O:$O,"Recall")</f>
        <v>#REF!</v>
      </c>
      <c r="BN24" s="83" t="e">
        <f>COUNTIFS('SPC-CPN_Q&amp;A'!#REF!,BF$1,'SPC-CPN_Q&amp;A'!#REF!,'Writing assignments'!$C24,'SPC-CPN_Q&amp;A'!$O:$O,"Application")</f>
        <v>#REF!</v>
      </c>
      <c r="BO24" s="83" t="e">
        <f>COUNTIFS('SPC-CPN_Q&amp;A'!#REF!,BF$1,'SPC-CPN_Q&amp;A'!#REF!,'Writing assignments'!$C24,'SPC-CPN_Q&amp;A'!$O:$O,"Analysis")</f>
        <v>#REF!</v>
      </c>
      <c r="BP24" s="82" t="s">
        <v>71</v>
      </c>
      <c r="BQ24" s="83">
        <v>2</v>
      </c>
      <c r="BR24" s="83">
        <v>0</v>
      </c>
      <c r="BS24" s="83">
        <v>1</v>
      </c>
      <c r="BT24" s="84">
        <v>1</v>
      </c>
      <c r="BV24" s="83" t="e">
        <f t="shared" si="9"/>
        <v>#REF!</v>
      </c>
      <c r="BW24" s="83" t="e">
        <f>COUNTIFS('SPC-CPN_Q&amp;A'!#REF!,BP$1,'SPC-CPN_Q&amp;A'!#REF!,'Writing assignments'!$C24,'SPC-CPN_Q&amp;A'!$O:$O,"Recall")</f>
        <v>#REF!</v>
      </c>
      <c r="BX24" s="83" t="e">
        <f>COUNTIFS('SPC-CPN_Q&amp;A'!#REF!,BP$1,'SPC-CPN_Q&amp;A'!#REF!,'Writing assignments'!$C24,'SPC-CPN_Q&amp;A'!$O:$O,"Application")</f>
        <v>#REF!</v>
      </c>
      <c r="BY24" s="83" t="e">
        <f>COUNTIFS('SPC-CPN_Q&amp;A'!#REF!,BP$1,'SPC-CPN_Q&amp;A'!#REF!,'Writing assignments'!$C24,'SPC-CPN_Q&amp;A'!$O:$O,"Analysis")</f>
        <v>#REF!</v>
      </c>
      <c r="CA24" s="83">
        <v>0</v>
      </c>
    </row>
    <row r="25" spans="2:79" x14ac:dyDescent="0.25">
      <c r="B25" s="74" t="s">
        <v>3592</v>
      </c>
      <c r="C25" s="74" t="s">
        <v>3595</v>
      </c>
      <c r="D25" s="6"/>
      <c r="E25" s="6">
        <v>1</v>
      </c>
      <c r="F25" s="6">
        <v>4</v>
      </c>
      <c r="G25" s="6">
        <v>2</v>
      </c>
      <c r="H25" s="6">
        <f t="shared" si="2"/>
        <v>7</v>
      </c>
      <c r="J25" s="42">
        <f t="shared" si="1"/>
        <v>0</v>
      </c>
      <c r="K25" s="82" t="s">
        <v>71</v>
      </c>
      <c r="L25" s="84">
        <v>1</v>
      </c>
      <c r="M25" s="82" t="s">
        <v>71</v>
      </c>
      <c r="N25" s="83">
        <f t="shared" si="3"/>
        <v>1</v>
      </c>
      <c r="P25" s="83">
        <v>1</v>
      </c>
      <c r="S25" s="83" t="e">
        <f t="shared" si="4"/>
        <v>#REF!</v>
      </c>
      <c r="T25" s="83" t="e">
        <f>COUNTIFS('SPC-CPN_Q&amp;A'!#REF!,M$1,'SPC-CPN_Q&amp;A'!#REF!,'Writing assignments'!$C25,'SPC-CPN_Q&amp;A'!$O:$O,"Recall")</f>
        <v>#REF!</v>
      </c>
      <c r="U25" s="83" t="e">
        <f>COUNTIFS('SPC-CPN_Q&amp;A'!#REF!,M$1,'SPC-CPN_Q&amp;A'!#REF!,'Writing assignments'!$C25,'SPC-CPN_Q&amp;A'!$O:$O,"Application")</f>
        <v>#REF!</v>
      </c>
      <c r="V25" s="84" t="e">
        <f>COUNTIFS('SPC-CPN_Q&amp;A'!#REF!,M$1,'SPC-CPN_Q&amp;A'!#REF!,'Writing assignments'!$C25,'SPC-CPN_Q&amp;A'!$O:$O,"Analysis")</f>
        <v>#REF!</v>
      </c>
      <c r="AA25" s="84"/>
      <c r="AC25" s="83" t="e">
        <f t="shared" si="5"/>
        <v>#REF!</v>
      </c>
      <c r="AD25" s="83" t="e">
        <f>COUNTIFS('SPC-CPN_Q&amp;A'!#REF!,W$1,'SPC-CPN_Q&amp;A'!#REF!,'Writing assignments'!$C25,'SPC-CPN_Q&amp;A'!$O:$O,"Recall")</f>
        <v>#REF!</v>
      </c>
      <c r="AE25" s="83" t="e">
        <f>COUNTIFS('SPC-CPN_Q&amp;A'!#REF!,W$1,'SPC-CPN_Q&amp;A'!#REF!,'Writing assignments'!$C25,'SPC-CPN_Q&amp;A'!$O:$O,"Application")</f>
        <v>#REF!</v>
      </c>
      <c r="AF25" s="83" t="e">
        <f>COUNTIFS('SPC-CPN_Q&amp;A'!#REF!,W$1,'SPC-CPN_Q&amp;A'!#REF!,'Writing assignments'!$C25,'SPC-CPN_Q&amp;A'!$O:$O,"Analysis")</f>
        <v>#REF!</v>
      </c>
      <c r="AG25" s="82" t="s">
        <v>71</v>
      </c>
      <c r="AH25" s="83">
        <v>3</v>
      </c>
      <c r="AI25" s="83">
        <v>1</v>
      </c>
      <c r="AJ25" s="83">
        <v>1</v>
      </c>
      <c r="AK25" s="84">
        <v>1</v>
      </c>
      <c r="AM25" s="83" t="e">
        <f t="shared" si="6"/>
        <v>#REF!</v>
      </c>
      <c r="AN25" s="83" t="e">
        <f>COUNTIFS('SPC-CPN_Q&amp;A'!#REF!,AG$1,'SPC-CPN_Q&amp;A'!#REF!,'Writing assignments'!$C25,'SPC-CPN_Q&amp;A'!$O:$O,"Recall")</f>
        <v>#REF!</v>
      </c>
      <c r="AO25" s="83" t="e">
        <f>COUNTIFS('SPC-CPN_Q&amp;A'!#REF!,AG$1,'SPC-CPN_Q&amp;A'!#REF!,'Writing assignments'!$C25,'SPC-CPN_Q&amp;A'!$O:$O,"Application")</f>
        <v>#REF!</v>
      </c>
      <c r="AP25" s="83" t="e">
        <f>COUNTIFS('SPC-CPN_Q&amp;A'!#REF!,AG$1,'SPC-CPN_Q&amp;A'!#REF!,'Writing assignments'!$C25,'SPC-CPN_Q&amp;A'!$O:$O,"Analysis")</f>
        <v>#REF!</v>
      </c>
      <c r="AQ25" s="82"/>
      <c r="AR25" s="83">
        <v>0</v>
      </c>
      <c r="AU25" s="84"/>
      <c r="BB25" s="83" t="e">
        <f t="shared" si="7"/>
        <v>#REF!</v>
      </c>
      <c r="BC25" s="83" t="e">
        <f>COUNTIFS('SPC-CPN_Q&amp;A'!#REF!,AV$1,'SPC-CPN_Q&amp;A'!#REF!,'Writing assignments'!$C25,'SPC-CPN_Q&amp;A'!$O:$O,"Recall")</f>
        <v>#REF!</v>
      </c>
      <c r="BD25" s="83" t="e">
        <f>COUNTIFS('SPC-CPN_Q&amp;A'!#REF!,AV$1,'SPC-CPN_Q&amp;A'!#REF!,'Writing assignments'!$C25,'SPC-CPN_Q&amp;A'!$O:$O,"Application")</f>
        <v>#REF!</v>
      </c>
      <c r="BE25" s="83" t="e">
        <f>COUNTIFS('SPC-CPN_Q&amp;A'!#REF!,AV$1,'SPC-CPN_Q&amp;A'!#REF!,'Writing assignments'!$C25,'SPC-CPN_Q&amp;A'!$O:$O,"Analysis")</f>
        <v>#REF!</v>
      </c>
      <c r="BF25" s="82" t="s">
        <v>71</v>
      </c>
      <c r="BG25" s="83">
        <v>2</v>
      </c>
      <c r="BH25" s="83">
        <v>0</v>
      </c>
      <c r="BI25" s="83">
        <v>1</v>
      </c>
      <c r="BJ25" s="84">
        <v>1</v>
      </c>
      <c r="BL25" s="83" t="e">
        <f t="shared" si="8"/>
        <v>#REF!</v>
      </c>
      <c r="BM25" s="83" t="e">
        <f>COUNTIFS('SPC-CPN_Q&amp;A'!#REF!,BF$1,'SPC-CPN_Q&amp;A'!#REF!,'Writing assignments'!$C25,'SPC-CPN_Q&amp;A'!$O:$O,"Recall")</f>
        <v>#REF!</v>
      </c>
      <c r="BN25" s="83" t="e">
        <f>COUNTIFS('SPC-CPN_Q&amp;A'!#REF!,BF$1,'SPC-CPN_Q&amp;A'!#REF!,'Writing assignments'!$C25,'SPC-CPN_Q&amp;A'!$O:$O,"Application")</f>
        <v>#REF!</v>
      </c>
      <c r="BO25" s="83" t="e">
        <f>COUNTIFS('SPC-CPN_Q&amp;A'!#REF!,BF$1,'SPC-CPN_Q&amp;A'!#REF!,'Writing assignments'!$C25,'SPC-CPN_Q&amp;A'!$O:$O,"Analysis")</f>
        <v>#REF!</v>
      </c>
      <c r="BP25" s="82"/>
      <c r="BT25" s="84"/>
      <c r="BV25" s="83" t="e">
        <f t="shared" si="9"/>
        <v>#REF!</v>
      </c>
      <c r="BW25" s="83" t="e">
        <f>COUNTIFS('SPC-CPN_Q&amp;A'!#REF!,BP$1,'SPC-CPN_Q&amp;A'!#REF!,'Writing assignments'!$C25,'SPC-CPN_Q&amp;A'!$O:$O,"Recall")</f>
        <v>#REF!</v>
      </c>
      <c r="BX25" s="83" t="e">
        <f>COUNTIFS('SPC-CPN_Q&amp;A'!#REF!,BP$1,'SPC-CPN_Q&amp;A'!#REF!,'Writing assignments'!$C25,'SPC-CPN_Q&amp;A'!$O:$O,"Application")</f>
        <v>#REF!</v>
      </c>
      <c r="BY25" s="83" t="e">
        <f>COUNTIFS('SPC-CPN_Q&amp;A'!#REF!,BP$1,'SPC-CPN_Q&amp;A'!#REF!,'Writing assignments'!$C25,'SPC-CPN_Q&amp;A'!$O:$O,"Analysis")</f>
        <v>#REF!</v>
      </c>
      <c r="CA25" s="83">
        <v>0</v>
      </c>
    </row>
    <row r="26" spans="2:79" x14ac:dyDescent="0.25">
      <c r="B26" s="74" t="s">
        <v>3592</v>
      </c>
      <c r="C26" s="74" t="s">
        <v>3596</v>
      </c>
      <c r="D26" s="6"/>
      <c r="E26" s="6">
        <v>2</v>
      </c>
      <c r="F26" s="6">
        <v>5</v>
      </c>
      <c r="G26" s="6">
        <v>2</v>
      </c>
      <c r="H26" s="6">
        <f t="shared" si="2"/>
        <v>9</v>
      </c>
      <c r="J26" s="42">
        <f t="shared" si="1"/>
        <v>0</v>
      </c>
      <c r="K26" s="82"/>
      <c r="L26" s="84">
        <v>0</v>
      </c>
      <c r="M26" s="82" t="s">
        <v>71</v>
      </c>
      <c r="N26" s="83">
        <f t="shared" si="3"/>
        <v>3</v>
      </c>
      <c r="P26" s="83">
        <v>2</v>
      </c>
      <c r="Q26" s="83">
        <v>1</v>
      </c>
      <c r="S26" s="83" t="e">
        <f t="shared" si="4"/>
        <v>#REF!</v>
      </c>
      <c r="T26" s="83" t="e">
        <f>COUNTIFS('SPC-CPN_Q&amp;A'!#REF!,M$1,'SPC-CPN_Q&amp;A'!#REF!,'Writing assignments'!$C26,'SPC-CPN_Q&amp;A'!$O:$O,"Recall")</f>
        <v>#REF!</v>
      </c>
      <c r="U26" s="83" t="e">
        <f>COUNTIFS('SPC-CPN_Q&amp;A'!#REF!,M$1,'SPC-CPN_Q&amp;A'!#REF!,'Writing assignments'!$C26,'SPC-CPN_Q&amp;A'!$O:$O,"Application")</f>
        <v>#REF!</v>
      </c>
      <c r="V26" s="84" t="e">
        <f>COUNTIFS('SPC-CPN_Q&amp;A'!#REF!,M$1,'SPC-CPN_Q&amp;A'!#REF!,'Writing assignments'!$C26,'SPC-CPN_Q&amp;A'!$O:$O,"Analysis")</f>
        <v>#REF!</v>
      </c>
      <c r="AA26" s="84"/>
      <c r="AC26" s="83" t="e">
        <f t="shared" si="5"/>
        <v>#REF!</v>
      </c>
      <c r="AD26" s="83" t="e">
        <f>COUNTIFS('SPC-CPN_Q&amp;A'!#REF!,W$1,'SPC-CPN_Q&amp;A'!#REF!,'Writing assignments'!$C26,'SPC-CPN_Q&amp;A'!$O:$O,"Recall")</f>
        <v>#REF!</v>
      </c>
      <c r="AE26" s="83" t="e">
        <f>COUNTIFS('SPC-CPN_Q&amp;A'!#REF!,W$1,'SPC-CPN_Q&amp;A'!#REF!,'Writing assignments'!$C26,'SPC-CPN_Q&amp;A'!$O:$O,"Application")</f>
        <v>#REF!</v>
      </c>
      <c r="AF26" s="83" t="e">
        <f>COUNTIFS('SPC-CPN_Q&amp;A'!#REF!,W$1,'SPC-CPN_Q&amp;A'!#REF!,'Writing assignments'!$C26,'SPC-CPN_Q&amp;A'!$O:$O,"Analysis")</f>
        <v>#REF!</v>
      </c>
      <c r="AG26" s="82" t="s">
        <v>71</v>
      </c>
      <c r="AH26" s="83">
        <v>3</v>
      </c>
      <c r="AI26" s="83">
        <v>0</v>
      </c>
      <c r="AJ26" s="83">
        <v>2</v>
      </c>
      <c r="AK26" s="84">
        <v>1</v>
      </c>
      <c r="AM26" s="83" t="e">
        <f t="shared" si="6"/>
        <v>#REF!</v>
      </c>
      <c r="AN26" s="83" t="e">
        <f>COUNTIFS('SPC-CPN_Q&amp;A'!#REF!,AG$1,'SPC-CPN_Q&amp;A'!#REF!,'Writing assignments'!$C26,'SPC-CPN_Q&amp;A'!$O:$O,"Recall")</f>
        <v>#REF!</v>
      </c>
      <c r="AO26" s="83" t="e">
        <f>COUNTIFS('SPC-CPN_Q&amp;A'!#REF!,AG$1,'SPC-CPN_Q&amp;A'!#REF!,'Writing assignments'!$C26,'SPC-CPN_Q&amp;A'!$O:$O,"Application")</f>
        <v>#REF!</v>
      </c>
      <c r="AP26" s="83" t="e">
        <f>COUNTIFS('SPC-CPN_Q&amp;A'!#REF!,AG$1,'SPC-CPN_Q&amp;A'!#REF!,'Writing assignments'!$C26,'SPC-CPN_Q&amp;A'!$O:$O,"Analysis")</f>
        <v>#REF!</v>
      </c>
      <c r="AQ26" s="82" t="s">
        <v>71</v>
      </c>
      <c r="AR26" s="83">
        <v>3</v>
      </c>
      <c r="AS26" s="83">
        <v>1</v>
      </c>
      <c r="AT26" s="83">
        <v>1</v>
      </c>
      <c r="AU26" s="84">
        <v>1</v>
      </c>
      <c r="BB26" s="83" t="e">
        <f t="shared" si="7"/>
        <v>#REF!</v>
      </c>
      <c r="BC26" s="83" t="e">
        <f>COUNTIFS('SPC-CPN_Q&amp;A'!#REF!,AV$1,'SPC-CPN_Q&amp;A'!#REF!,'Writing assignments'!$C26,'SPC-CPN_Q&amp;A'!$O:$O,"Recall")</f>
        <v>#REF!</v>
      </c>
      <c r="BD26" s="83" t="e">
        <f>COUNTIFS('SPC-CPN_Q&amp;A'!#REF!,AV$1,'SPC-CPN_Q&amp;A'!#REF!,'Writing assignments'!$C26,'SPC-CPN_Q&amp;A'!$O:$O,"Application")</f>
        <v>#REF!</v>
      </c>
      <c r="BE26" s="83" t="e">
        <f>COUNTIFS('SPC-CPN_Q&amp;A'!#REF!,AV$1,'SPC-CPN_Q&amp;A'!#REF!,'Writing assignments'!$C26,'SPC-CPN_Q&amp;A'!$O:$O,"Analysis")</f>
        <v>#REF!</v>
      </c>
      <c r="BF26" s="82" t="s">
        <v>71</v>
      </c>
      <c r="BG26" s="83">
        <v>3</v>
      </c>
      <c r="BH26" s="83">
        <v>1</v>
      </c>
      <c r="BI26" s="83">
        <v>2</v>
      </c>
      <c r="BJ26" s="84">
        <v>0</v>
      </c>
      <c r="BL26" s="83" t="e">
        <f t="shared" si="8"/>
        <v>#REF!</v>
      </c>
      <c r="BM26" s="83" t="e">
        <f>COUNTIFS('SPC-CPN_Q&amp;A'!#REF!,BF$1,'SPC-CPN_Q&amp;A'!#REF!,'Writing assignments'!$C26,'SPC-CPN_Q&amp;A'!$O:$O,"Recall")</f>
        <v>#REF!</v>
      </c>
      <c r="BN26" s="83" t="e">
        <f>COUNTIFS('SPC-CPN_Q&amp;A'!#REF!,BF$1,'SPC-CPN_Q&amp;A'!#REF!,'Writing assignments'!$C26,'SPC-CPN_Q&amp;A'!$O:$O,"Application")</f>
        <v>#REF!</v>
      </c>
      <c r="BO26" s="83" t="e">
        <f>COUNTIFS('SPC-CPN_Q&amp;A'!#REF!,BF$1,'SPC-CPN_Q&amp;A'!#REF!,'Writing assignments'!$C26,'SPC-CPN_Q&amp;A'!$O:$O,"Analysis")</f>
        <v>#REF!</v>
      </c>
      <c r="BP26" s="82"/>
      <c r="BT26" s="84"/>
      <c r="BV26" s="83" t="e">
        <f t="shared" si="9"/>
        <v>#REF!</v>
      </c>
      <c r="BW26" s="83" t="e">
        <f>COUNTIFS('SPC-CPN_Q&amp;A'!#REF!,BP$1,'SPC-CPN_Q&amp;A'!#REF!,'Writing assignments'!$C26,'SPC-CPN_Q&amp;A'!$O:$O,"Recall")</f>
        <v>#REF!</v>
      </c>
      <c r="BX26" s="83" t="e">
        <f>COUNTIFS('SPC-CPN_Q&amp;A'!#REF!,BP$1,'SPC-CPN_Q&amp;A'!#REF!,'Writing assignments'!$C26,'SPC-CPN_Q&amp;A'!$O:$O,"Application")</f>
        <v>#REF!</v>
      </c>
      <c r="BY26" s="83" t="e">
        <f>COUNTIFS('SPC-CPN_Q&amp;A'!#REF!,BP$1,'SPC-CPN_Q&amp;A'!#REF!,'Writing assignments'!$C26,'SPC-CPN_Q&amp;A'!$O:$O,"Analysis")</f>
        <v>#REF!</v>
      </c>
      <c r="CA26" s="83">
        <v>0</v>
      </c>
    </row>
    <row r="27" spans="2:79" x14ac:dyDescent="0.25">
      <c r="B27" s="74" t="s">
        <v>3592</v>
      </c>
      <c r="C27" s="74" t="s">
        <v>3597</v>
      </c>
      <c r="D27" s="6"/>
      <c r="E27" s="6">
        <v>1</v>
      </c>
      <c r="F27" s="6">
        <v>5</v>
      </c>
      <c r="G27" s="6">
        <v>3</v>
      </c>
      <c r="H27" s="6">
        <f t="shared" si="2"/>
        <v>9</v>
      </c>
      <c r="J27" s="42">
        <f t="shared" si="1"/>
        <v>0</v>
      </c>
      <c r="K27" s="82" t="s">
        <v>71</v>
      </c>
      <c r="L27" s="84">
        <v>1</v>
      </c>
      <c r="M27" s="82" t="s">
        <v>71</v>
      </c>
      <c r="N27" s="83">
        <f t="shared" si="3"/>
        <v>2</v>
      </c>
      <c r="P27" s="83">
        <v>2</v>
      </c>
      <c r="S27" s="83" t="e">
        <f t="shared" si="4"/>
        <v>#REF!</v>
      </c>
      <c r="T27" s="83" t="e">
        <f>COUNTIFS('SPC-CPN_Q&amp;A'!#REF!,M$1,'SPC-CPN_Q&amp;A'!#REF!,'Writing assignments'!$C27,'SPC-CPN_Q&amp;A'!$O:$O,"Recall")</f>
        <v>#REF!</v>
      </c>
      <c r="U27" s="83" t="e">
        <f>COUNTIFS('SPC-CPN_Q&amp;A'!#REF!,M$1,'SPC-CPN_Q&amp;A'!#REF!,'Writing assignments'!$C27,'SPC-CPN_Q&amp;A'!$O:$O,"Application")</f>
        <v>#REF!</v>
      </c>
      <c r="V27" s="84" t="e">
        <f>COUNTIFS('SPC-CPN_Q&amp;A'!#REF!,M$1,'SPC-CPN_Q&amp;A'!#REF!,'Writing assignments'!$C27,'SPC-CPN_Q&amp;A'!$O:$O,"Analysis")</f>
        <v>#REF!</v>
      </c>
      <c r="W27" s="83" t="s">
        <v>71</v>
      </c>
      <c r="X27" s="83">
        <v>2</v>
      </c>
      <c r="Y27" s="83">
        <v>0</v>
      </c>
      <c r="Z27" s="83">
        <v>1</v>
      </c>
      <c r="AA27" s="84">
        <v>1</v>
      </c>
      <c r="AC27" s="83" t="e">
        <f t="shared" si="5"/>
        <v>#REF!</v>
      </c>
      <c r="AD27" s="83" t="e">
        <f>COUNTIFS('SPC-CPN_Q&amp;A'!#REF!,W$1,'SPC-CPN_Q&amp;A'!#REF!,'Writing assignments'!$C27,'SPC-CPN_Q&amp;A'!$O:$O,"Recall")</f>
        <v>#REF!</v>
      </c>
      <c r="AE27" s="83" t="e">
        <f>COUNTIFS('SPC-CPN_Q&amp;A'!#REF!,W$1,'SPC-CPN_Q&amp;A'!#REF!,'Writing assignments'!$C27,'SPC-CPN_Q&amp;A'!$O:$O,"Application")</f>
        <v>#REF!</v>
      </c>
      <c r="AF27" s="83" t="e">
        <f>COUNTIFS('SPC-CPN_Q&amp;A'!#REF!,W$1,'SPC-CPN_Q&amp;A'!#REF!,'Writing assignments'!$C27,'SPC-CPN_Q&amp;A'!$O:$O,"Analysis")</f>
        <v>#REF!</v>
      </c>
      <c r="AG27" s="82"/>
      <c r="AK27" s="84"/>
      <c r="AM27" s="83" t="e">
        <f t="shared" si="6"/>
        <v>#REF!</v>
      </c>
      <c r="AN27" s="83" t="e">
        <f>COUNTIFS('SPC-CPN_Q&amp;A'!#REF!,AG$1,'SPC-CPN_Q&amp;A'!#REF!,'Writing assignments'!$C27,'SPC-CPN_Q&amp;A'!$O:$O,"Recall")</f>
        <v>#REF!</v>
      </c>
      <c r="AO27" s="83" t="e">
        <f>COUNTIFS('SPC-CPN_Q&amp;A'!#REF!,AG$1,'SPC-CPN_Q&amp;A'!#REF!,'Writing assignments'!$C27,'SPC-CPN_Q&amp;A'!$O:$O,"Application")</f>
        <v>#REF!</v>
      </c>
      <c r="AP27" s="83" t="e">
        <f>COUNTIFS('SPC-CPN_Q&amp;A'!#REF!,AG$1,'SPC-CPN_Q&amp;A'!#REF!,'Writing assignments'!$C27,'SPC-CPN_Q&amp;A'!$O:$O,"Analysis")</f>
        <v>#REF!</v>
      </c>
      <c r="AQ27" s="82" t="s">
        <v>71</v>
      </c>
      <c r="AR27" s="83">
        <v>2</v>
      </c>
      <c r="AS27" s="83">
        <v>0</v>
      </c>
      <c r="AT27" s="83">
        <v>1</v>
      </c>
      <c r="AU27" s="84">
        <v>1</v>
      </c>
      <c r="BB27" s="83" t="e">
        <f t="shared" si="7"/>
        <v>#REF!</v>
      </c>
      <c r="BC27" s="83" t="e">
        <f>COUNTIFS('SPC-CPN_Q&amp;A'!#REF!,AV$1,'SPC-CPN_Q&amp;A'!#REF!,'Writing assignments'!$C27,'SPC-CPN_Q&amp;A'!$O:$O,"Recall")</f>
        <v>#REF!</v>
      </c>
      <c r="BD27" s="83" t="e">
        <f>COUNTIFS('SPC-CPN_Q&amp;A'!#REF!,AV$1,'SPC-CPN_Q&amp;A'!#REF!,'Writing assignments'!$C27,'SPC-CPN_Q&amp;A'!$O:$O,"Application")</f>
        <v>#REF!</v>
      </c>
      <c r="BE27" s="83" t="e">
        <f>COUNTIFS('SPC-CPN_Q&amp;A'!#REF!,AV$1,'SPC-CPN_Q&amp;A'!#REF!,'Writing assignments'!$C27,'SPC-CPN_Q&amp;A'!$O:$O,"Analysis")</f>
        <v>#REF!</v>
      </c>
      <c r="BF27" s="82" t="s">
        <v>71</v>
      </c>
      <c r="BG27" s="83">
        <v>2</v>
      </c>
      <c r="BH27" s="83">
        <v>0</v>
      </c>
      <c r="BI27" s="83">
        <v>1</v>
      </c>
      <c r="BJ27" s="84">
        <v>1</v>
      </c>
      <c r="BL27" s="83" t="e">
        <f t="shared" si="8"/>
        <v>#REF!</v>
      </c>
      <c r="BM27" s="83" t="e">
        <f>COUNTIFS('SPC-CPN_Q&amp;A'!#REF!,BF$1,'SPC-CPN_Q&amp;A'!#REF!,'Writing assignments'!$C27,'SPC-CPN_Q&amp;A'!$O:$O,"Recall")</f>
        <v>#REF!</v>
      </c>
      <c r="BN27" s="83" t="e">
        <f>COUNTIFS('SPC-CPN_Q&amp;A'!#REF!,BF$1,'SPC-CPN_Q&amp;A'!#REF!,'Writing assignments'!$C27,'SPC-CPN_Q&amp;A'!$O:$O,"Application")</f>
        <v>#REF!</v>
      </c>
      <c r="BO27" s="83" t="e">
        <f>COUNTIFS('SPC-CPN_Q&amp;A'!#REF!,BF$1,'SPC-CPN_Q&amp;A'!#REF!,'Writing assignments'!$C27,'SPC-CPN_Q&amp;A'!$O:$O,"Analysis")</f>
        <v>#REF!</v>
      </c>
      <c r="BP27" s="82" t="s">
        <v>71</v>
      </c>
      <c r="BQ27" s="83">
        <v>2</v>
      </c>
      <c r="BR27" s="83">
        <v>1</v>
      </c>
      <c r="BS27" s="83">
        <v>1</v>
      </c>
      <c r="BT27" s="84">
        <v>0</v>
      </c>
      <c r="BV27" s="83" t="e">
        <f t="shared" si="9"/>
        <v>#REF!</v>
      </c>
      <c r="BW27" s="83" t="e">
        <f>COUNTIFS('SPC-CPN_Q&amp;A'!#REF!,BP$1,'SPC-CPN_Q&amp;A'!#REF!,'Writing assignments'!$C27,'SPC-CPN_Q&amp;A'!$O:$O,"Recall")</f>
        <v>#REF!</v>
      </c>
      <c r="BX27" s="83" t="e">
        <f>COUNTIFS('SPC-CPN_Q&amp;A'!#REF!,BP$1,'SPC-CPN_Q&amp;A'!#REF!,'Writing assignments'!$C27,'SPC-CPN_Q&amp;A'!$O:$O,"Application")</f>
        <v>#REF!</v>
      </c>
      <c r="BY27" s="83" t="e">
        <f>COUNTIFS('SPC-CPN_Q&amp;A'!#REF!,BP$1,'SPC-CPN_Q&amp;A'!#REF!,'Writing assignments'!$C27,'SPC-CPN_Q&amp;A'!$O:$O,"Analysis")</f>
        <v>#REF!</v>
      </c>
      <c r="CA27" s="83">
        <v>0</v>
      </c>
    </row>
    <row r="28" spans="2:79" x14ac:dyDescent="0.25">
      <c r="B28" s="74" t="s">
        <v>3592</v>
      </c>
      <c r="C28" s="74" t="s">
        <v>3598</v>
      </c>
      <c r="D28" s="6"/>
      <c r="E28" s="6">
        <v>2</v>
      </c>
      <c r="F28" s="6">
        <v>5</v>
      </c>
      <c r="G28" s="6">
        <v>2</v>
      </c>
      <c r="H28" s="6">
        <f t="shared" si="2"/>
        <v>9</v>
      </c>
      <c r="J28" s="42">
        <f t="shared" si="1"/>
        <v>0</v>
      </c>
      <c r="K28" s="82"/>
      <c r="L28" s="84">
        <v>0</v>
      </c>
      <c r="M28" s="82"/>
      <c r="N28" s="83">
        <f t="shared" si="3"/>
        <v>0</v>
      </c>
      <c r="S28" s="83" t="e">
        <f t="shared" si="4"/>
        <v>#REF!</v>
      </c>
      <c r="T28" s="83" t="e">
        <f>COUNTIFS('SPC-CPN_Q&amp;A'!#REF!,M$1,'SPC-CPN_Q&amp;A'!#REF!,'Writing assignments'!$C28,'SPC-CPN_Q&amp;A'!$O:$O,"Recall")</f>
        <v>#REF!</v>
      </c>
      <c r="U28" s="83" t="e">
        <f>COUNTIFS('SPC-CPN_Q&amp;A'!#REF!,M$1,'SPC-CPN_Q&amp;A'!#REF!,'Writing assignments'!$C28,'SPC-CPN_Q&amp;A'!$O:$O,"Application")</f>
        <v>#REF!</v>
      </c>
      <c r="V28" s="84" t="e">
        <f>COUNTIFS('SPC-CPN_Q&amp;A'!#REF!,M$1,'SPC-CPN_Q&amp;A'!#REF!,'Writing assignments'!$C28,'SPC-CPN_Q&amp;A'!$O:$O,"Analysis")</f>
        <v>#REF!</v>
      </c>
      <c r="W28" s="83" t="s">
        <v>71</v>
      </c>
      <c r="X28" s="83">
        <v>3</v>
      </c>
      <c r="Y28" s="83">
        <v>1</v>
      </c>
      <c r="Z28" s="83">
        <v>1</v>
      </c>
      <c r="AA28" s="84">
        <v>1</v>
      </c>
      <c r="AC28" s="83" t="e">
        <f t="shared" si="5"/>
        <v>#REF!</v>
      </c>
      <c r="AD28" s="83" t="e">
        <f>COUNTIFS('SPC-CPN_Q&amp;A'!#REF!,W$1,'SPC-CPN_Q&amp;A'!#REF!,'Writing assignments'!$C28,'SPC-CPN_Q&amp;A'!$O:$O,"Recall")</f>
        <v>#REF!</v>
      </c>
      <c r="AE28" s="83" t="e">
        <f>COUNTIFS('SPC-CPN_Q&amp;A'!#REF!,W$1,'SPC-CPN_Q&amp;A'!#REF!,'Writing assignments'!$C28,'SPC-CPN_Q&amp;A'!$O:$O,"Application")</f>
        <v>#REF!</v>
      </c>
      <c r="AF28" s="83" t="e">
        <f>COUNTIFS('SPC-CPN_Q&amp;A'!#REF!,W$1,'SPC-CPN_Q&amp;A'!#REF!,'Writing assignments'!$C28,'SPC-CPN_Q&amp;A'!$O:$O,"Analysis")</f>
        <v>#REF!</v>
      </c>
      <c r="AG28" s="82" t="s">
        <v>71</v>
      </c>
      <c r="AH28" s="83">
        <v>3</v>
      </c>
      <c r="AI28" s="83">
        <v>0</v>
      </c>
      <c r="AJ28" s="83">
        <v>2</v>
      </c>
      <c r="AK28" s="84">
        <v>1</v>
      </c>
      <c r="AM28" s="83" t="e">
        <f t="shared" si="6"/>
        <v>#REF!</v>
      </c>
      <c r="AN28" s="83" t="e">
        <f>COUNTIFS('SPC-CPN_Q&amp;A'!#REF!,AG$1,'SPC-CPN_Q&amp;A'!#REF!,'Writing assignments'!$C28,'SPC-CPN_Q&amp;A'!$O:$O,"Recall")</f>
        <v>#REF!</v>
      </c>
      <c r="AO28" s="83" t="e">
        <f>COUNTIFS('SPC-CPN_Q&amp;A'!#REF!,AG$1,'SPC-CPN_Q&amp;A'!#REF!,'Writing assignments'!$C28,'SPC-CPN_Q&amp;A'!$O:$O,"Application")</f>
        <v>#REF!</v>
      </c>
      <c r="AP28" s="83" t="e">
        <f>COUNTIFS('SPC-CPN_Q&amp;A'!#REF!,AG$1,'SPC-CPN_Q&amp;A'!#REF!,'Writing assignments'!$C28,'SPC-CPN_Q&amp;A'!$O:$O,"Analysis")</f>
        <v>#REF!</v>
      </c>
      <c r="AQ28" s="82"/>
      <c r="AU28" s="84"/>
      <c r="BB28" s="83" t="e">
        <f t="shared" si="7"/>
        <v>#REF!</v>
      </c>
      <c r="BC28" s="83" t="e">
        <f>COUNTIFS('SPC-CPN_Q&amp;A'!#REF!,AV$1,'SPC-CPN_Q&amp;A'!#REF!,'Writing assignments'!$C28,'SPC-CPN_Q&amp;A'!$O:$O,"Recall")</f>
        <v>#REF!</v>
      </c>
      <c r="BD28" s="83" t="e">
        <f>COUNTIFS('SPC-CPN_Q&amp;A'!#REF!,AV$1,'SPC-CPN_Q&amp;A'!#REF!,'Writing assignments'!$C28,'SPC-CPN_Q&amp;A'!$O:$O,"Application")</f>
        <v>#REF!</v>
      </c>
      <c r="BE28" s="83" t="e">
        <f>COUNTIFS('SPC-CPN_Q&amp;A'!#REF!,AV$1,'SPC-CPN_Q&amp;A'!#REF!,'Writing assignments'!$C28,'SPC-CPN_Q&amp;A'!$O:$O,"Analysis")</f>
        <v>#REF!</v>
      </c>
      <c r="BF28" s="82"/>
      <c r="BJ28" s="84"/>
      <c r="BL28" s="83" t="e">
        <f t="shared" si="8"/>
        <v>#REF!</v>
      </c>
      <c r="BM28" s="83" t="e">
        <f>COUNTIFS('SPC-CPN_Q&amp;A'!#REF!,BF$1,'SPC-CPN_Q&amp;A'!#REF!,'Writing assignments'!$C28,'SPC-CPN_Q&amp;A'!$O:$O,"Recall")</f>
        <v>#REF!</v>
      </c>
      <c r="BN28" s="83" t="e">
        <f>COUNTIFS('SPC-CPN_Q&amp;A'!#REF!,BF$1,'SPC-CPN_Q&amp;A'!#REF!,'Writing assignments'!$C28,'SPC-CPN_Q&amp;A'!$O:$O,"Application")</f>
        <v>#REF!</v>
      </c>
      <c r="BO28" s="83" t="e">
        <f>COUNTIFS('SPC-CPN_Q&amp;A'!#REF!,BF$1,'SPC-CPN_Q&amp;A'!#REF!,'Writing assignments'!$C28,'SPC-CPN_Q&amp;A'!$O:$O,"Analysis")</f>
        <v>#REF!</v>
      </c>
      <c r="BP28" s="82" t="s">
        <v>71</v>
      </c>
      <c r="BQ28" s="83">
        <v>3</v>
      </c>
      <c r="BR28" s="83">
        <v>1</v>
      </c>
      <c r="BS28" s="83">
        <v>2</v>
      </c>
      <c r="BT28" s="84">
        <v>0</v>
      </c>
      <c r="BV28" s="83" t="e">
        <f t="shared" si="9"/>
        <v>#REF!</v>
      </c>
      <c r="BW28" s="83" t="e">
        <f>COUNTIFS('SPC-CPN_Q&amp;A'!#REF!,BP$1,'SPC-CPN_Q&amp;A'!#REF!,'Writing assignments'!$C28,'SPC-CPN_Q&amp;A'!$O:$O,"Recall")</f>
        <v>#REF!</v>
      </c>
      <c r="BX28" s="83" t="e">
        <f>COUNTIFS('SPC-CPN_Q&amp;A'!#REF!,BP$1,'SPC-CPN_Q&amp;A'!#REF!,'Writing assignments'!$C28,'SPC-CPN_Q&amp;A'!$O:$O,"Application")</f>
        <v>#REF!</v>
      </c>
      <c r="BY28" s="83" t="e">
        <f>COUNTIFS('SPC-CPN_Q&amp;A'!#REF!,BP$1,'SPC-CPN_Q&amp;A'!#REF!,'Writing assignments'!$C28,'SPC-CPN_Q&amp;A'!$O:$O,"Analysis")</f>
        <v>#REF!</v>
      </c>
      <c r="CA28" s="83">
        <v>0</v>
      </c>
    </row>
    <row r="29" spans="2:79" x14ac:dyDescent="0.25">
      <c r="B29" s="74" t="s">
        <v>3592</v>
      </c>
      <c r="C29" s="74" t="s">
        <v>3599</v>
      </c>
      <c r="D29" s="6"/>
      <c r="E29" s="6">
        <v>1</v>
      </c>
      <c r="F29" s="6">
        <v>5</v>
      </c>
      <c r="G29" s="6">
        <v>3</v>
      </c>
      <c r="H29" s="6">
        <f t="shared" si="2"/>
        <v>9</v>
      </c>
      <c r="J29" s="42">
        <f t="shared" si="1"/>
        <v>0</v>
      </c>
      <c r="K29" s="82"/>
      <c r="L29" s="84">
        <v>0</v>
      </c>
      <c r="M29" s="82" t="s">
        <v>71</v>
      </c>
      <c r="N29" s="83">
        <f t="shared" si="3"/>
        <v>3</v>
      </c>
      <c r="P29" s="83">
        <v>2</v>
      </c>
      <c r="Q29" s="83">
        <v>1</v>
      </c>
      <c r="S29" s="83" t="e">
        <f t="shared" si="4"/>
        <v>#REF!</v>
      </c>
      <c r="T29" s="83" t="e">
        <f>COUNTIFS('SPC-CPN_Q&amp;A'!#REF!,M$1,'SPC-CPN_Q&amp;A'!#REF!,'Writing assignments'!$C29,'SPC-CPN_Q&amp;A'!$O:$O,"Recall")</f>
        <v>#REF!</v>
      </c>
      <c r="U29" s="83" t="e">
        <f>COUNTIFS('SPC-CPN_Q&amp;A'!#REF!,M$1,'SPC-CPN_Q&amp;A'!#REF!,'Writing assignments'!$C29,'SPC-CPN_Q&amp;A'!$O:$O,"Application")</f>
        <v>#REF!</v>
      </c>
      <c r="V29" s="84" t="e">
        <f>COUNTIFS('SPC-CPN_Q&amp;A'!#REF!,M$1,'SPC-CPN_Q&amp;A'!#REF!,'Writing assignments'!$C29,'SPC-CPN_Q&amp;A'!$O:$O,"Analysis")</f>
        <v>#REF!</v>
      </c>
      <c r="AA29" s="84"/>
      <c r="AC29" s="83" t="e">
        <f t="shared" si="5"/>
        <v>#REF!</v>
      </c>
      <c r="AD29" s="83" t="e">
        <f>COUNTIFS('SPC-CPN_Q&amp;A'!#REF!,W$1,'SPC-CPN_Q&amp;A'!#REF!,'Writing assignments'!$C29,'SPC-CPN_Q&amp;A'!$O:$O,"Recall")</f>
        <v>#REF!</v>
      </c>
      <c r="AE29" s="83" t="e">
        <f>COUNTIFS('SPC-CPN_Q&amp;A'!#REF!,W$1,'SPC-CPN_Q&amp;A'!#REF!,'Writing assignments'!$C29,'SPC-CPN_Q&amp;A'!$O:$O,"Application")</f>
        <v>#REF!</v>
      </c>
      <c r="AF29" s="83" t="e">
        <f>COUNTIFS('SPC-CPN_Q&amp;A'!#REF!,W$1,'SPC-CPN_Q&amp;A'!#REF!,'Writing assignments'!$C29,'SPC-CPN_Q&amp;A'!$O:$O,"Analysis")</f>
        <v>#REF!</v>
      </c>
      <c r="AG29" s="82" t="s">
        <v>71</v>
      </c>
      <c r="AH29" s="83">
        <v>2</v>
      </c>
      <c r="AI29" s="83">
        <v>1</v>
      </c>
      <c r="AJ29" s="83">
        <v>0</v>
      </c>
      <c r="AK29" s="84">
        <v>1</v>
      </c>
      <c r="AM29" s="83" t="e">
        <f t="shared" si="6"/>
        <v>#REF!</v>
      </c>
      <c r="AN29" s="83" t="e">
        <f>COUNTIFS('SPC-CPN_Q&amp;A'!#REF!,AG$1,'SPC-CPN_Q&amp;A'!#REF!,'Writing assignments'!$C29,'SPC-CPN_Q&amp;A'!$O:$O,"Recall")</f>
        <v>#REF!</v>
      </c>
      <c r="AO29" s="83" t="e">
        <f>COUNTIFS('SPC-CPN_Q&amp;A'!#REF!,AG$1,'SPC-CPN_Q&amp;A'!#REF!,'Writing assignments'!$C29,'SPC-CPN_Q&amp;A'!$O:$O,"Application")</f>
        <v>#REF!</v>
      </c>
      <c r="AP29" s="83" t="e">
        <f>COUNTIFS('SPC-CPN_Q&amp;A'!#REF!,AG$1,'SPC-CPN_Q&amp;A'!#REF!,'Writing assignments'!$C29,'SPC-CPN_Q&amp;A'!$O:$O,"Analysis")</f>
        <v>#REF!</v>
      </c>
      <c r="AQ29" s="82"/>
      <c r="AU29" s="84"/>
      <c r="BB29" s="83" t="e">
        <f t="shared" si="7"/>
        <v>#REF!</v>
      </c>
      <c r="BC29" s="83" t="e">
        <f>COUNTIFS('SPC-CPN_Q&amp;A'!#REF!,AV$1,'SPC-CPN_Q&amp;A'!#REF!,'Writing assignments'!$C29,'SPC-CPN_Q&amp;A'!$O:$O,"Recall")</f>
        <v>#REF!</v>
      </c>
      <c r="BD29" s="83" t="e">
        <f>COUNTIFS('SPC-CPN_Q&amp;A'!#REF!,AV$1,'SPC-CPN_Q&amp;A'!#REF!,'Writing assignments'!$C29,'SPC-CPN_Q&amp;A'!$O:$O,"Application")</f>
        <v>#REF!</v>
      </c>
      <c r="BE29" s="83" t="e">
        <f>COUNTIFS('SPC-CPN_Q&amp;A'!#REF!,AV$1,'SPC-CPN_Q&amp;A'!#REF!,'Writing assignments'!$C29,'SPC-CPN_Q&amp;A'!$O:$O,"Analysis")</f>
        <v>#REF!</v>
      </c>
      <c r="BF29" s="82" t="s">
        <v>71</v>
      </c>
      <c r="BG29" s="83">
        <v>2</v>
      </c>
      <c r="BH29" s="83">
        <v>0</v>
      </c>
      <c r="BI29" s="83">
        <v>1</v>
      </c>
      <c r="BJ29" s="84">
        <v>1</v>
      </c>
      <c r="BL29" s="83" t="e">
        <f t="shared" si="8"/>
        <v>#REF!</v>
      </c>
      <c r="BM29" s="83" t="e">
        <f>COUNTIFS('SPC-CPN_Q&amp;A'!#REF!,BF$1,'SPC-CPN_Q&amp;A'!#REF!,'Writing assignments'!$C29,'SPC-CPN_Q&amp;A'!$O:$O,"Recall")</f>
        <v>#REF!</v>
      </c>
      <c r="BN29" s="83" t="e">
        <f>COUNTIFS('SPC-CPN_Q&amp;A'!#REF!,BF$1,'SPC-CPN_Q&amp;A'!#REF!,'Writing assignments'!$C29,'SPC-CPN_Q&amp;A'!$O:$O,"Application")</f>
        <v>#REF!</v>
      </c>
      <c r="BO29" s="83" t="e">
        <f>COUNTIFS('SPC-CPN_Q&amp;A'!#REF!,BF$1,'SPC-CPN_Q&amp;A'!#REF!,'Writing assignments'!$C29,'SPC-CPN_Q&amp;A'!$O:$O,"Analysis")</f>
        <v>#REF!</v>
      </c>
      <c r="BP29" s="82" t="s">
        <v>71</v>
      </c>
      <c r="BQ29" s="83">
        <v>2</v>
      </c>
      <c r="BR29" s="83">
        <v>0</v>
      </c>
      <c r="BS29" s="83">
        <v>2</v>
      </c>
      <c r="BT29" s="84">
        <v>0</v>
      </c>
      <c r="BV29" s="83" t="e">
        <f t="shared" si="9"/>
        <v>#REF!</v>
      </c>
      <c r="BW29" s="83" t="e">
        <f>COUNTIFS('SPC-CPN_Q&amp;A'!#REF!,BP$1,'SPC-CPN_Q&amp;A'!#REF!,'Writing assignments'!$C29,'SPC-CPN_Q&amp;A'!$O:$O,"Recall")</f>
        <v>#REF!</v>
      </c>
      <c r="BX29" s="83" t="e">
        <f>COUNTIFS('SPC-CPN_Q&amp;A'!#REF!,BP$1,'SPC-CPN_Q&amp;A'!#REF!,'Writing assignments'!$C29,'SPC-CPN_Q&amp;A'!$O:$O,"Application")</f>
        <v>#REF!</v>
      </c>
      <c r="BY29" s="83" t="e">
        <f>COUNTIFS('SPC-CPN_Q&amp;A'!#REF!,BP$1,'SPC-CPN_Q&amp;A'!#REF!,'Writing assignments'!$C29,'SPC-CPN_Q&amp;A'!$O:$O,"Analysis")</f>
        <v>#REF!</v>
      </c>
      <c r="CA29" s="83">
        <v>0</v>
      </c>
    </row>
    <row r="30" spans="2:79" x14ac:dyDescent="0.25">
      <c r="B30" s="74" t="s">
        <v>3592</v>
      </c>
      <c r="C30" s="74" t="s">
        <v>3600</v>
      </c>
      <c r="D30" s="6"/>
      <c r="E30" s="6">
        <v>2</v>
      </c>
      <c r="F30" s="6">
        <v>5</v>
      </c>
      <c r="G30" s="6">
        <v>2</v>
      </c>
      <c r="H30" s="6">
        <f t="shared" si="2"/>
        <v>9</v>
      </c>
      <c r="J30" s="42">
        <f t="shared" si="1"/>
        <v>0</v>
      </c>
      <c r="K30" s="82" t="s">
        <v>71</v>
      </c>
      <c r="L30" s="84">
        <v>1</v>
      </c>
      <c r="M30" s="82"/>
      <c r="N30" s="83">
        <f t="shared" si="3"/>
        <v>0</v>
      </c>
      <c r="Q30" s="84"/>
      <c r="S30" s="83" t="e">
        <f t="shared" si="4"/>
        <v>#REF!</v>
      </c>
      <c r="T30" s="83" t="e">
        <f>COUNTIFS('SPC-CPN_Q&amp;A'!#REF!,M$1,'SPC-CPN_Q&amp;A'!#REF!,'Writing assignments'!$C30,'SPC-CPN_Q&amp;A'!$O:$O,"Recall")</f>
        <v>#REF!</v>
      </c>
      <c r="U30" s="83" t="e">
        <f>COUNTIFS('SPC-CPN_Q&amp;A'!#REF!,M$1,'SPC-CPN_Q&amp;A'!#REF!,'Writing assignments'!$C30,'SPC-CPN_Q&amp;A'!$O:$O,"Application")</f>
        <v>#REF!</v>
      </c>
      <c r="V30" s="84" t="e">
        <f>COUNTIFS('SPC-CPN_Q&amp;A'!#REF!,M$1,'SPC-CPN_Q&amp;A'!#REF!,'Writing assignments'!$C30,'SPC-CPN_Q&amp;A'!$O:$O,"Analysis")</f>
        <v>#REF!</v>
      </c>
      <c r="W30" s="83" t="s">
        <v>71</v>
      </c>
      <c r="X30" s="83">
        <v>2</v>
      </c>
      <c r="Y30" s="83" t="s">
        <v>3601</v>
      </c>
      <c r="Z30" s="83">
        <v>1</v>
      </c>
      <c r="AA30" s="84">
        <v>1</v>
      </c>
      <c r="AC30" s="83" t="e">
        <f t="shared" si="5"/>
        <v>#REF!</v>
      </c>
      <c r="AD30" s="83" t="e">
        <f>COUNTIFS('SPC-CPN_Q&amp;A'!#REF!,W$1,'SPC-CPN_Q&amp;A'!#REF!,'Writing assignments'!$C30,'SPC-CPN_Q&amp;A'!$O:$O,"Recall")</f>
        <v>#REF!</v>
      </c>
      <c r="AE30" s="83" t="e">
        <f>COUNTIFS('SPC-CPN_Q&amp;A'!#REF!,W$1,'SPC-CPN_Q&amp;A'!#REF!,'Writing assignments'!$C30,'SPC-CPN_Q&amp;A'!$O:$O,"Application")</f>
        <v>#REF!</v>
      </c>
      <c r="AF30" s="83" t="e">
        <f>COUNTIFS('SPC-CPN_Q&amp;A'!#REF!,W$1,'SPC-CPN_Q&amp;A'!#REF!,'Writing assignments'!$C30,'SPC-CPN_Q&amp;A'!$O:$O,"Analysis")</f>
        <v>#REF!</v>
      </c>
      <c r="AG30" s="82"/>
      <c r="AK30" s="84"/>
      <c r="AM30" s="83" t="e">
        <f t="shared" si="6"/>
        <v>#REF!</v>
      </c>
      <c r="AN30" s="83" t="e">
        <f>COUNTIFS('SPC-CPN_Q&amp;A'!#REF!,AG$1,'SPC-CPN_Q&amp;A'!#REF!,'Writing assignments'!$C30,'SPC-CPN_Q&amp;A'!$O:$O,"Recall")</f>
        <v>#REF!</v>
      </c>
      <c r="AO30" s="83" t="e">
        <f>COUNTIFS('SPC-CPN_Q&amp;A'!#REF!,AG$1,'SPC-CPN_Q&amp;A'!#REF!,'Writing assignments'!$C30,'SPC-CPN_Q&amp;A'!$O:$O,"Application")</f>
        <v>#REF!</v>
      </c>
      <c r="AP30" s="83" t="e">
        <f>COUNTIFS('SPC-CPN_Q&amp;A'!#REF!,AG$1,'SPC-CPN_Q&amp;A'!#REF!,'Writing assignments'!$C30,'SPC-CPN_Q&amp;A'!$O:$O,"Analysis")</f>
        <v>#REF!</v>
      </c>
      <c r="AQ30" s="82"/>
      <c r="AU30" s="84"/>
      <c r="AV30" s="82" t="s">
        <v>71</v>
      </c>
      <c r="AW30" s="83">
        <v>2</v>
      </c>
      <c r="AX30" s="83">
        <v>1</v>
      </c>
      <c r="AY30" s="83">
        <v>1</v>
      </c>
      <c r="AZ30" s="84">
        <v>0</v>
      </c>
      <c r="BB30" s="83" t="e">
        <f t="shared" si="7"/>
        <v>#REF!</v>
      </c>
      <c r="BC30" s="83" t="e">
        <f>COUNTIFS('SPC-CPN_Q&amp;A'!#REF!,AV$1,'SPC-CPN_Q&amp;A'!#REF!,'Writing assignments'!$C30,'SPC-CPN_Q&amp;A'!$O:$O,"Recall")</f>
        <v>#REF!</v>
      </c>
      <c r="BD30" s="83" t="e">
        <f>COUNTIFS('SPC-CPN_Q&amp;A'!#REF!,AV$1,'SPC-CPN_Q&amp;A'!#REF!,'Writing assignments'!$C30,'SPC-CPN_Q&amp;A'!$O:$O,"Application")</f>
        <v>#REF!</v>
      </c>
      <c r="BE30" s="83" t="e">
        <f>COUNTIFS('SPC-CPN_Q&amp;A'!#REF!,AV$1,'SPC-CPN_Q&amp;A'!#REF!,'Writing assignments'!$C30,'SPC-CPN_Q&amp;A'!$O:$O,"Analysis")</f>
        <v>#REF!</v>
      </c>
      <c r="BF30" s="82" t="s">
        <v>71</v>
      </c>
      <c r="BG30" s="83">
        <v>2</v>
      </c>
      <c r="BH30" s="83">
        <v>1</v>
      </c>
      <c r="BI30" s="83">
        <v>1</v>
      </c>
      <c r="BJ30" s="84">
        <v>0</v>
      </c>
      <c r="BL30" s="83" t="e">
        <f t="shared" si="8"/>
        <v>#REF!</v>
      </c>
      <c r="BM30" s="83" t="e">
        <f>COUNTIFS('SPC-CPN_Q&amp;A'!#REF!,BF$1,'SPC-CPN_Q&amp;A'!#REF!,'Writing assignments'!$C30,'SPC-CPN_Q&amp;A'!$O:$O,"Recall")</f>
        <v>#REF!</v>
      </c>
      <c r="BN30" s="83" t="e">
        <f>COUNTIFS('SPC-CPN_Q&amp;A'!#REF!,BF$1,'SPC-CPN_Q&amp;A'!#REF!,'Writing assignments'!$C30,'SPC-CPN_Q&amp;A'!$O:$O,"Application")</f>
        <v>#REF!</v>
      </c>
      <c r="BO30" s="83" t="e">
        <f>COUNTIFS('SPC-CPN_Q&amp;A'!#REF!,BF$1,'SPC-CPN_Q&amp;A'!#REF!,'Writing assignments'!$C30,'SPC-CPN_Q&amp;A'!$O:$O,"Analysis")</f>
        <v>#REF!</v>
      </c>
      <c r="BP30" s="82" t="s">
        <v>71</v>
      </c>
      <c r="BQ30" s="83">
        <v>2</v>
      </c>
      <c r="BR30" s="83">
        <v>0</v>
      </c>
      <c r="BS30" s="83">
        <v>1</v>
      </c>
      <c r="BT30" s="84">
        <v>1</v>
      </c>
      <c r="BV30" s="83" t="e">
        <f t="shared" si="9"/>
        <v>#REF!</v>
      </c>
      <c r="BW30" s="83" t="e">
        <f>COUNTIFS('SPC-CPN_Q&amp;A'!#REF!,BP$1,'SPC-CPN_Q&amp;A'!#REF!,'Writing assignments'!$C30,'SPC-CPN_Q&amp;A'!$O:$O,"Recall")</f>
        <v>#REF!</v>
      </c>
      <c r="BX30" s="83" t="e">
        <f>COUNTIFS('SPC-CPN_Q&amp;A'!#REF!,BP$1,'SPC-CPN_Q&amp;A'!#REF!,'Writing assignments'!$C30,'SPC-CPN_Q&amp;A'!$O:$O,"Application")</f>
        <v>#REF!</v>
      </c>
      <c r="BY30" s="83" t="e">
        <f>COUNTIFS('SPC-CPN_Q&amp;A'!#REF!,BP$1,'SPC-CPN_Q&amp;A'!#REF!,'Writing assignments'!$C30,'SPC-CPN_Q&amp;A'!$O:$O,"Analysis")</f>
        <v>#REF!</v>
      </c>
      <c r="CA30" s="83">
        <v>0</v>
      </c>
    </row>
    <row r="31" spans="2:79" x14ac:dyDescent="0.25">
      <c r="B31" s="74" t="s">
        <v>3602</v>
      </c>
      <c r="C31" s="74" t="s">
        <v>3603</v>
      </c>
      <c r="D31" s="6"/>
      <c r="E31" s="6">
        <v>1</v>
      </c>
      <c r="F31" s="6">
        <v>4</v>
      </c>
      <c r="G31" s="6">
        <v>2</v>
      </c>
      <c r="H31" s="6">
        <f t="shared" si="2"/>
        <v>7</v>
      </c>
      <c r="J31" s="42">
        <f t="shared" si="1"/>
        <v>0</v>
      </c>
      <c r="K31" s="82" t="s">
        <v>71</v>
      </c>
      <c r="L31" s="84">
        <v>1</v>
      </c>
      <c r="M31" s="82"/>
      <c r="N31" s="83">
        <f t="shared" si="3"/>
        <v>0</v>
      </c>
      <c r="Q31" s="84"/>
      <c r="S31" s="83" t="e">
        <f t="shared" si="4"/>
        <v>#REF!</v>
      </c>
      <c r="T31" s="83" t="e">
        <f>COUNTIFS('SPC-CPN_Q&amp;A'!#REF!,M$1,'SPC-CPN_Q&amp;A'!#REF!,'Writing assignments'!$C31,'SPC-CPN_Q&amp;A'!$O:$O,"Recall")</f>
        <v>#REF!</v>
      </c>
      <c r="U31" s="83" t="e">
        <f>COUNTIFS('SPC-CPN_Q&amp;A'!#REF!,M$1,'SPC-CPN_Q&amp;A'!#REF!,'Writing assignments'!$C31,'SPC-CPN_Q&amp;A'!$O:$O,"Application")</f>
        <v>#REF!</v>
      </c>
      <c r="V31" s="84" t="e">
        <f>COUNTIFS('SPC-CPN_Q&amp;A'!#REF!,M$1,'SPC-CPN_Q&amp;A'!#REF!,'Writing assignments'!$C31,'SPC-CPN_Q&amp;A'!$O:$O,"Analysis")</f>
        <v>#REF!</v>
      </c>
      <c r="AA31" s="84"/>
      <c r="AC31" s="83" t="e">
        <f t="shared" si="5"/>
        <v>#REF!</v>
      </c>
      <c r="AD31" s="83" t="e">
        <f>COUNTIFS('SPC-CPN_Q&amp;A'!#REF!,W$1,'SPC-CPN_Q&amp;A'!#REF!,'Writing assignments'!$C31,'SPC-CPN_Q&amp;A'!$O:$O,"Recall")</f>
        <v>#REF!</v>
      </c>
      <c r="AE31" s="83" t="e">
        <f>COUNTIFS('SPC-CPN_Q&amp;A'!#REF!,W$1,'SPC-CPN_Q&amp;A'!#REF!,'Writing assignments'!$C31,'SPC-CPN_Q&amp;A'!$O:$O,"Application")</f>
        <v>#REF!</v>
      </c>
      <c r="AF31" s="83" t="e">
        <f>COUNTIFS('SPC-CPN_Q&amp;A'!#REF!,W$1,'SPC-CPN_Q&amp;A'!#REF!,'Writing assignments'!$C31,'SPC-CPN_Q&amp;A'!$O:$O,"Analysis")</f>
        <v>#REF!</v>
      </c>
      <c r="AG31" s="82"/>
      <c r="AK31" s="84"/>
      <c r="AM31" s="83" t="e">
        <f t="shared" si="6"/>
        <v>#REF!</v>
      </c>
      <c r="AN31" s="83" t="e">
        <f>COUNTIFS('SPC-CPN_Q&amp;A'!#REF!,AG$1,'SPC-CPN_Q&amp;A'!#REF!,'Writing assignments'!$C31,'SPC-CPN_Q&amp;A'!$O:$O,"Recall")</f>
        <v>#REF!</v>
      </c>
      <c r="AO31" s="83" t="e">
        <f>COUNTIFS('SPC-CPN_Q&amp;A'!#REF!,AG$1,'SPC-CPN_Q&amp;A'!#REF!,'Writing assignments'!$C31,'SPC-CPN_Q&amp;A'!$O:$O,"Application")</f>
        <v>#REF!</v>
      </c>
      <c r="AP31" s="83" t="e">
        <f>COUNTIFS('SPC-CPN_Q&amp;A'!#REF!,AG$1,'SPC-CPN_Q&amp;A'!#REF!,'Writing assignments'!$C31,'SPC-CPN_Q&amp;A'!$O:$O,"Analysis")</f>
        <v>#REF!</v>
      </c>
      <c r="AQ31" s="82"/>
      <c r="AU31" s="84"/>
      <c r="AV31" s="82"/>
      <c r="AZ31" s="84"/>
      <c r="BB31" s="83" t="e">
        <f t="shared" si="7"/>
        <v>#REF!</v>
      </c>
      <c r="BC31" s="83" t="e">
        <f>COUNTIFS('SPC-CPN_Q&amp;A'!#REF!,AV$1,'SPC-CPN_Q&amp;A'!#REF!,'Writing assignments'!$C31,'SPC-CPN_Q&amp;A'!$O:$O,"Recall")</f>
        <v>#REF!</v>
      </c>
      <c r="BD31" s="83" t="e">
        <f>COUNTIFS('SPC-CPN_Q&amp;A'!#REF!,AV$1,'SPC-CPN_Q&amp;A'!#REF!,'Writing assignments'!$C31,'SPC-CPN_Q&amp;A'!$O:$O,"Application")</f>
        <v>#REF!</v>
      </c>
      <c r="BE31" s="83" t="e">
        <f>COUNTIFS('SPC-CPN_Q&amp;A'!#REF!,AV$1,'SPC-CPN_Q&amp;A'!#REF!,'Writing assignments'!$C31,'SPC-CPN_Q&amp;A'!$O:$O,"Analysis")</f>
        <v>#REF!</v>
      </c>
      <c r="BF31" s="82" t="s">
        <v>71</v>
      </c>
      <c r="BG31" s="83">
        <v>3</v>
      </c>
      <c r="BH31" s="83">
        <v>0</v>
      </c>
      <c r="BI31" s="83">
        <v>2</v>
      </c>
      <c r="BJ31" s="84">
        <v>1</v>
      </c>
      <c r="BL31" s="83" t="e">
        <f t="shared" si="8"/>
        <v>#REF!</v>
      </c>
      <c r="BM31" s="83" t="e">
        <f>COUNTIFS('SPC-CPN_Q&amp;A'!#REF!,BF$1,'SPC-CPN_Q&amp;A'!#REF!,'Writing assignments'!$C31,'SPC-CPN_Q&amp;A'!$O:$O,"Recall")</f>
        <v>#REF!</v>
      </c>
      <c r="BN31" s="83" t="e">
        <f>COUNTIFS('SPC-CPN_Q&amp;A'!#REF!,BF$1,'SPC-CPN_Q&amp;A'!#REF!,'Writing assignments'!$C31,'SPC-CPN_Q&amp;A'!$O:$O,"Application")</f>
        <v>#REF!</v>
      </c>
      <c r="BO31" s="83" t="e">
        <f>COUNTIFS('SPC-CPN_Q&amp;A'!#REF!,BF$1,'SPC-CPN_Q&amp;A'!#REF!,'Writing assignments'!$C31,'SPC-CPN_Q&amp;A'!$O:$O,"Analysis")</f>
        <v>#REF!</v>
      </c>
      <c r="BP31" s="82" t="s">
        <v>71</v>
      </c>
      <c r="BQ31" s="83">
        <v>3</v>
      </c>
      <c r="BR31" s="83">
        <v>1</v>
      </c>
      <c r="BS31" s="83">
        <v>1</v>
      </c>
      <c r="BT31" s="84">
        <v>1</v>
      </c>
      <c r="BV31" s="83" t="e">
        <f t="shared" si="9"/>
        <v>#REF!</v>
      </c>
      <c r="BW31" s="83" t="e">
        <f>COUNTIFS('SPC-CPN_Q&amp;A'!#REF!,BP$1,'SPC-CPN_Q&amp;A'!#REF!,'Writing assignments'!$C31,'SPC-CPN_Q&amp;A'!$O:$O,"Recall")</f>
        <v>#REF!</v>
      </c>
      <c r="BX31" s="83" t="e">
        <f>COUNTIFS('SPC-CPN_Q&amp;A'!#REF!,BP$1,'SPC-CPN_Q&amp;A'!#REF!,'Writing assignments'!$C31,'SPC-CPN_Q&amp;A'!$O:$O,"Application")</f>
        <v>#REF!</v>
      </c>
      <c r="BY31" s="83" t="e">
        <f>COUNTIFS('SPC-CPN_Q&amp;A'!#REF!,BP$1,'SPC-CPN_Q&amp;A'!#REF!,'Writing assignments'!$C31,'SPC-CPN_Q&amp;A'!$O:$O,"Analysis")</f>
        <v>#REF!</v>
      </c>
      <c r="CA31" s="83">
        <v>0</v>
      </c>
    </row>
    <row r="32" spans="2:79" x14ac:dyDescent="0.25">
      <c r="B32" s="74" t="s">
        <v>3602</v>
      </c>
      <c r="C32" s="74" t="s">
        <v>3604</v>
      </c>
      <c r="D32" s="6"/>
      <c r="E32" s="6">
        <v>0</v>
      </c>
      <c r="F32" s="6">
        <v>2</v>
      </c>
      <c r="G32" s="6">
        <v>3</v>
      </c>
      <c r="H32" s="6">
        <f t="shared" si="2"/>
        <v>5</v>
      </c>
      <c r="J32" s="42">
        <f t="shared" si="1"/>
        <v>0</v>
      </c>
      <c r="K32" s="82" t="s">
        <v>71</v>
      </c>
      <c r="L32" s="84">
        <v>1</v>
      </c>
      <c r="M32" s="82"/>
      <c r="N32" s="83">
        <f t="shared" si="3"/>
        <v>0</v>
      </c>
      <c r="Q32" s="84"/>
      <c r="S32" s="83" t="e">
        <f t="shared" si="4"/>
        <v>#REF!</v>
      </c>
      <c r="T32" s="83" t="e">
        <f>COUNTIFS('SPC-CPN_Q&amp;A'!#REF!,M$1,'SPC-CPN_Q&amp;A'!#REF!,'Writing assignments'!$C32,'SPC-CPN_Q&amp;A'!$O:$O,"Recall")</f>
        <v>#REF!</v>
      </c>
      <c r="U32" s="83" t="e">
        <f>COUNTIFS('SPC-CPN_Q&amp;A'!#REF!,M$1,'SPC-CPN_Q&amp;A'!#REF!,'Writing assignments'!$C32,'SPC-CPN_Q&amp;A'!$O:$O,"Application")</f>
        <v>#REF!</v>
      </c>
      <c r="V32" s="84" t="e">
        <f>COUNTIFS('SPC-CPN_Q&amp;A'!#REF!,M$1,'SPC-CPN_Q&amp;A'!#REF!,'Writing assignments'!$C32,'SPC-CPN_Q&amp;A'!$O:$O,"Analysis")</f>
        <v>#REF!</v>
      </c>
      <c r="AA32" s="84"/>
      <c r="AC32" s="83" t="e">
        <f t="shared" si="5"/>
        <v>#REF!</v>
      </c>
      <c r="AD32" s="83" t="e">
        <f>COUNTIFS('SPC-CPN_Q&amp;A'!#REF!,W$1,'SPC-CPN_Q&amp;A'!#REF!,'Writing assignments'!$C32,'SPC-CPN_Q&amp;A'!$O:$O,"Recall")</f>
        <v>#REF!</v>
      </c>
      <c r="AE32" s="83" t="e">
        <f>COUNTIFS('SPC-CPN_Q&amp;A'!#REF!,W$1,'SPC-CPN_Q&amp;A'!#REF!,'Writing assignments'!$C32,'SPC-CPN_Q&amp;A'!$O:$O,"Application")</f>
        <v>#REF!</v>
      </c>
      <c r="AF32" s="83" t="e">
        <f>COUNTIFS('SPC-CPN_Q&amp;A'!#REF!,W$1,'SPC-CPN_Q&amp;A'!#REF!,'Writing assignments'!$C32,'SPC-CPN_Q&amp;A'!$O:$O,"Analysis")</f>
        <v>#REF!</v>
      </c>
      <c r="AG32" s="82" t="s">
        <v>71</v>
      </c>
      <c r="AH32" s="83">
        <v>2</v>
      </c>
      <c r="AI32" s="83">
        <v>0</v>
      </c>
      <c r="AJ32" s="83">
        <v>1</v>
      </c>
      <c r="AK32" s="84">
        <v>1</v>
      </c>
      <c r="AM32" s="83" t="e">
        <f t="shared" si="6"/>
        <v>#REF!</v>
      </c>
      <c r="AN32" s="83" t="e">
        <f>COUNTIFS('SPC-CPN_Q&amp;A'!#REF!,AG$1,'SPC-CPN_Q&amp;A'!#REF!,'Writing assignments'!$C32,'SPC-CPN_Q&amp;A'!$O:$O,"Recall")</f>
        <v>#REF!</v>
      </c>
      <c r="AO32" s="83" t="e">
        <f>COUNTIFS('SPC-CPN_Q&amp;A'!#REF!,AG$1,'SPC-CPN_Q&amp;A'!#REF!,'Writing assignments'!$C32,'SPC-CPN_Q&amp;A'!$O:$O,"Application")</f>
        <v>#REF!</v>
      </c>
      <c r="AP32" s="83" t="e">
        <f>COUNTIFS('SPC-CPN_Q&amp;A'!#REF!,AG$1,'SPC-CPN_Q&amp;A'!#REF!,'Writing assignments'!$C32,'SPC-CPN_Q&amp;A'!$O:$O,"Analysis")</f>
        <v>#REF!</v>
      </c>
      <c r="AQ32" s="82"/>
      <c r="AU32" s="84"/>
      <c r="AV32" s="82" t="s">
        <v>71</v>
      </c>
      <c r="AW32" s="83">
        <v>2</v>
      </c>
      <c r="AX32" s="83">
        <v>0</v>
      </c>
      <c r="AY32" s="83">
        <v>1</v>
      </c>
      <c r="AZ32" s="84">
        <v>1</v>
      </c>
      <c r="BB32" s="83" t="e">
        <f t="shared" si="7"/>
        <v>#REF!</v>
      </c>
      <c r="BC32" s="83" t="e">
        <f>COUNTIFS('SPC-CPN_Q&amp;A'!#REF!,AV$1,'SPC-CPN_Q&amp;A'!#REF!,'Writing assignments'!$C32,'SPC-CPN_Q&amp;A'!$O:$O,"Recall")</f>
        <v>#REF!</v>
      </c>
      <c r="BD32" s="83" t="e">
        <f>COUNTIFS('SPC-CPN_Q&amp;A'!#REF!,AV$1,'SPC-CPN_Q&amp;A'!#REF!,'Writing assignments'!$C32,'SPC-CPN_Q&amp;A'!$O:$O,"Application")</f>
        <v>#REF!</v>
      </c>
      <c r="BE32" s="83" t="e">
        <f>COUNTIFS('SPC-CPN_Q&amp;A'!#REF!,AV$1,'SPC-CPN_Q&amp;A'!#REF!,'Writing assignments'!$C32,'SPC-CPN_Q&amp;A'!$O:$O,"Analysis")</f>
        <v>#REF!</v>
      </c>
      <c r="BF32" s="82"/>
      <c r="BJ32" s="84"/>
      <c r="BL32" s="83" t="e">
        <f t="shared" si="8"/>
        <v>#REF!</v>
      </c>
      <c r="BM32" s="83" t="e">
        <f>COUNTIFS('SPC-CPN_Q&amp;A'!#REF!,BF$1,'SPC-CPN_Q&amp;A'!#REF!,'Writing assignments'!$C32,'SPC-CPN_Q&amp;A'!$O:$O,"Recall")</f>
        <v>#REF!</v>
      </c>
      <c r="BN32" s="83" t="e">
        <f>COUNTIFS('SPC-CPN_Q&amp;A'!#REF!,BF$1,'SPC-CPN_Q&amp;A'!#REF!,'Writing assignments'!$C32,'SPC-CPN_Q&amp;A'!$O:$O,"Application")</f>
        <v>#REF!</v>
      </c>
      <c r="BO32" s="83" t="e">
        <f>COUNTIFS('SPC-CPN_Q&amp;A'!#REF!,BF$1,'SPC-CPN_Q&amp;A'!#REF!,'Writing assignments'!$C32,'SPC-CPN_Q&amp;A'!$O:$O,"Analysis")</f>
        <v>#REF!</v>
      </c>
      <c r="BP32" s="82"/>
      <c r="BT32" s="84"/>
      <c r="BV32" s="83" t="e">
        <f t="shared" si="9"/>
        <v>#REF!</v>
      </c>
      <c r="BW32" s="83" t="e">
        <f>COUNTIFS('SPC-CPN_Q&amp;A'!#REF!,BP$1,'SPC-CPN_Q&amp;A'!#REF!,'Writing assignments'!$C32,'SPC-CPN_Q&amp;A'!$O:$O,"Recall")</f>
        <v>#REF!</v>
      </c>
      <c r="BX32" s="83" t="e">
        <f>COUNTIFS('SPC-CPN_Q&amp;A'!#REF!,BP$1,'SPC-CPN_Q&amp;A'!#REF!,'Writing assignments'!$C32,'SPC-CPN_Q&amp;A'!$O:$O,"Application")</f>
        <v>#REF!</v>
      </c>
      <c r="BY32" s="83" t="e">
        <f>COUNTIFS('SPC-CPN_Q&amp;A'!#REF!,BP$1,'SPC-CPN_Q&amp;A'!#REF!,'Writing assignments'!$C32,'SPC-CPN_Q&amp;A'!$O:$O,"Analysis")</f>
        <v>#REF!</v>
      </c>
      <c r="CA32" s="83">
        <v>0</v>
      </c>
    </row>
    <row r="33" spans="2:79" x14ac:dyDescent="0.25">
      <c r="B33" s="74" t="s">
        <v>3602</v>
      </c>
      <c r="C33" s="74" t="s">
        <v>3605</v>
      </c>
      <c r="D33" s="6"/>
      <c r="E33" s="6">
        <v>0</v>
      </c>
      <c r="F33" s="6">
        <v>3</v>
      </c>
      <c r="G33" s="6">
        <v>2</v>
      </c>
      <c r="H33" s="6">
        <f t="shared" si="2"/>
        <v>5</v>
      </c>
      <c r="J33" s="42">
        <f t="shared" si="1"/>
        <v>0</v>
      </c>
      <c r="K33" s="82" t="s">
        <v>71</v>
      </c>
      <c r="L33" s="84">
        <v>1</v>
      </c>
      <c r="M33" s="82"/>
      <c r="N33" s="83">
        <f t="shared" si="3"/>
        <v>0</v>
      </c>
      <c r="Q33" s="84"/>
      <c r="S33" s="83" t="e">
        <f t="shared" si="4"/>
        <v>#REF!</v>
      </c>
      <c r="T33" s="83" t="e">
        <f>COUNTIFS('SPC-CPN_Q&amp;A'!#REF!,M$1,'SPC-CPN_Q&amp;A'!#REF!,'Writing assignments'!$C33,'SPC-CPN_Q&amp;A'!$O:$O,"Recall")</f>
        <v>#REF!</v>
      </c>
      <c r="U33" s="83" t="e">
        <f>COUNTIFS('SPC-CPN_Q&amp;A'!#REF!,M$1,'SPC-CPN_Q&amp;A'!#REF!,'Writing assignments'!$C33,'SPC-CPN_Q&amp;A'!$O:$O,"Application")</f>
        <v>#REF!</v>
      </c>
      <c r="V33" s="84" t="e">
        <f>COUNTIFS('SPC-CPN_Q&amp;A'!#REF!,M$1,'SPC-CPN_Q&amp;A'!#REF!,'Writing assignments'!$C33,'SPC-CPN_Q&amp;A'!$O:$O,"Analysis")</f>
        <v>#REF!</v>
      </c>
      <c r="AA33" s="84"/>
      <c r="AC33" s="83" t="e">
        <f t="shared" si="5"/>
        <v>#REF!</v>
      </c>
      <c r="AD33" s="83" t="e">
        <f>COUNTIFS('SPC-CPN_Q&amp;A'!#REF!,W$1,'SPC-CPN_Q&amp;A'!#REF!,'Writing assignments'!$C33,'SPC-CPN_Q&amp;A'!$O:$O,"Recall")</f>
        <v>#REF!</v>
      </c>
      <c r="AE33" s="83" t="e">
        <f>COUNTIFS('SPC-CPN_Q&amp;A'!#REF!,W$1,'SPC-CPN_Q&amp;A'!#REF!,'Writing assignments'!$C33,'SPC-CPN_Q&amp;A'!$O:$O,"Application")</f>
        <v>#REF!</v>
      </c>
      <c r="AF33" s="83" t="e">
        <f>COUNTIFS('SPC-CPN_Q&amp;A'!#REF!,W$1,'SPC-CPN_Q&amp;A'!#REF!,'Writing assignments'!$C33,'SPC-CPN_Q&amp;A'!$O:$O,"Analysis")</f>
        <v>#REF!</v>
      </c>
      <c r="AG33" s="82" t="s">
        <v>71</v>
      </c>
      <c r="AH33" s="83">
        <v>2</v>
      </c>
      <c r="AI33" s="83">
        <v>0</v>
      </c>
      <c r="AJ33" s="83">
        <v>1</v>
      </c>
      <c r="AK33" s="84">
        <v>1</v>
      </c>
      <c r="AM33" s="83" t="e">
        <f t="shared" si="6"/>
        <v>#REF!</v>
      </c>
      <c r="AN33" s="83" t="e">
        <f>COUNTIFS('SPC-CPN_Q&amp;A'!#REF!,AG$1,'SPC-CPN_Q&amp;A'!#REF!,'Writing assignments'!$C33,'SPC-CPN_Q&amp;A'!$O:$O,"Recall")</f>
        <v>#REF!</v>
      </c>
      <c r="AO33" s="83" t="e">
        <f>COUNTIFS('SPC-CPN_Q&amp;A'!#REF!,AG$1,'SPC-CPN_Q&amp;A'!#REF!,'Writing assignments'!$C33,'SPC-CPN_Q&amp;A'!$O:$O,"Application")</f>
        <v>#REF!</v>
      </c>
      <c r="AP33" s="83" t="e">
        <f>COUNTIFS('SPC-CPN_Q&amp;A'!#REF!,AG$1,'SPC-CPN_Q&amp;A'!#REF!,'Writing assignments'!$C33,'SPC-CPN_Q&amp;A'!$O:$O,"Analysis")</f>
        <v>#REF!</v>
      </c>
      <c r="AQ33" s="82"/>
      <c r="AU33" s="84"/>
      <c r="AV33" s="82" t="s">
        <v>71</v>
      </c>
      <c r="AW33" s="83">
        <v>2</v>
      </c>
      <c r="AX33" s="83">
        <v>0</v>
      </c>
      <c r="AY33" s="83">
        <v>1</v>
      </c>
      <c r="AZ33" s="84">
        <v>1</v>
      </c>
      <c r="BB33" s="83" t="e">
        <f t="shared" si="7"/>
        <v>#REF!</v>
      </c>
      <c r="BC33" s="83" t="e">
        <f>COUNTIFS('SPC-CPN_Q&amp;A'!#REF!,AV$1,'SPC-CPN_Q&amp;A'!#REF!,'Writing assignments'!$C33,'SPC-CPN_Q&amp;A'!$O:$O,"Recall")</f>
        <v>#REF!</v>
      </c>
      <c r="BD33" s="83" t="e">
        <f>COUNTIFS('SPC-CPN_Q&amp;A'!#REF!,AV$1,'SPC-CPN_Q&amp;A'!#REF!,'Writing assignments'!$C33,'SPC-CPN_Q&amp;A'!$O:$O,"Application")</f>
        <v>#REF!</v>
      </c>
      <c r="BE33" s="83" t="e">
        <f>COUNTIFS('SPC-CPN_Q&amp;A'!#REF!,AV$1,'SPC-CPN_Q&amp;A'!#REF!,'Writing assignments'!$C33,'SPC-CPN_Q&amp;A'!$O:$O,"Analysis")</f>
        <v>#REF!</v>
      </c>
      <c r="BF33" s="82"/>
      <c r="BJ33" s="84"/>
      <c r="BL33" s="83" t="e">
        <f t="shared" si="8"/>
        <v>#REF!</v>
      </c>
      <c r="BM33" s="83" t="e">
        <f>COUNTIFS('SPC-CPN_Q&amp;A'!#REF!,BF$1,'SPC-CPN_Q&amp;A'!#REF!,'Writing assignments'!$C33,'SPC-CPN_Q&amp;A'!$O:$O,"Recall")</f>
        <v>#REF!</v>
      </c>
      <c r="BN33" s="83" t="e">
        <f>COUNTIFS('SPC-CPN_Q&amp;A'!#REF!,BF$1,'SPC-CPN_Q&amp;A'!#REF!,'Writing assignments'!$C33,'SPC-CPN_Q&amp;A'!$O:$O,"Application")</f>
        <v>#REF!</v>
      </c>
      <c r="BO33" s="83" t="e">
        <f>COUNTIFS('SPC-CPN_Q&amp;A'!#REF!,BF$1,'SPC-CPN_Q&amp;A'!#REF!,'Writing assignments'!$C33,'SPC-CPN_Q&amp;A'!$O:$O,"Analysis")</f>
        <v>#REF!</v>
      </c>
      <c r="BP33" s="82"/>
      <c r="BT33" s="84"/>
      <c r="BV33" s="83" t="e">
        <f t="shared" si="9"/>
        <v>#REF!</v>
      </c>
      <c r="BW33" s="83" t="e">
        <f>COUNTIFS('SPC-CPN_Q&amp;A'!#REF!,BP$1,'SPC-CPN_Q&amp;A'!#REF!,'Writing assignments'!$C33,'SPC-CPN_Q&amp;A'!$O:$O,"Recall")</f>
        <v>#REF!</v>
      </c>
      <c r="BX33" s="83" t="e">
        <f>COUNTIFS('SPC-CPN_Q&amp;A'!#REF!,BP$1,'SPC-CPN_Q&amp;A'!#REF!,'Writing assignments'!$C33,'SPC-CPN_Q&amp;A'!$O:$O,"Application")</f>
        <v>#REF!</v>
      </c>
      <c r="BY33" s="83" t="e">
        <f>COUNTIFS('SPC-CPN_Q&amp;A'!#REF!,BP$1,'SPC-CPN_Q&amp;A'!#REF!,'Writing assignments'!$C33,'SPC-CPN_Q&amp;A'!$O:$O,"Analysis")</f>
        <v>#REF!</v>
      </c>
      <c r="CA33" s="83">
        <v>0</v>
      </c>
    </row>
    <row r="34" spans="2:79" x14ac:dyDescent="0.25">
      <c r="B34" s="74" t="s">
        <v>3602</v>
      </c>
      <c r="C34" s="74" t="s">
        <v>3606</v>
      </c>
      <c r="D34" s="6"/>
      <c r="E34" s="6">
        <v>0</v>
      </c>
      <c r="F34" s="6">
        <v>2</v>
      </c>
      <c r="G34" s="6">
        <v>2</v>
      </c>
      <c r="H34" s="6">
        <f t="shared" si="2"/>
        <v>4</v>
      </c>
      <c r="J34" s="42">
        <f t="shared" si="1"/>
        <v>0</v>
      </c>
      <c r="K34" s="82" t="s">
        <v>71</v>
      </c>
      <c r="L34" s="84">
        <v>1</v>
      </c>
      <c r="M34" s="82"/>
      <c r="N34" s="83">
        <f t="shared" si="3"/>
        <v>0</v>
      </c>
      <c r="S34" s="83" t="e">
        <f t="shared" si="4"/>
        <v>#REF!</v>
      </c>
      <c r="T34" s="83" t="e">
        <f>COUNTIFS('SPC-CPN_Q&amp;A'!#REF!,M$1,'SPC-CPN_Q&amp;A'!#REF!,'Writing assignments'!$C34,'SPC-CPN_Q&amp;A'!$O:$O,"Recall")</f>
        <v>#REF!</v>
      </c>
      <c r="U34" s="83" t="e">
        <f>COUNTIFS('SPC-CPN_Q&amp;A'!#REF!,M$1,'SPC-CPN_Q&amp;A'!#REF!,'Writing assignments'!$C34,'SPC-CPN_Q&amp;A'!$O:$O,"Application")</f>
        <v>#REF!</v>
      </c>
      <c r="V34" s="84" t="e">
        <f>COUNTIFS('SPC-CPN_Q&amp;A'!#REF!,M$1,'SPC-CPN_Q&amp;A'!#REF!,'Writing assignments'!$C34,'SPC-CPN_Q&amp;A'!$O:$O,"Analysis")</f>
        <v>#REF!</v>
      </c>
      <c r="W34" s="83" t="s">
        <v>71</v>
      </c>
      <c r="X34" s="83">
        <v>3</v>
      </c>
      <c r="Y34" s="83">
        <v>0</v>
      </c>
      <c r="Z34" s="83">
        <v>2</v>
      </c>
      <c r="AA34" s="84">
        <v>1</v>
      </c>
      <c r="AC34" s="83" t="e">
        <f t="shared" si="5"/>
        <v>#REF!</v>
      </c>
      <c r="AD34" s="83" t="e">
        <f>COUNTIFS('SPC-CPN_Q&amp;A'!#REF!,W$1,'SPC-CPN_Q&amp;A'!#REF!,'Writing assignments'!$C34,'SPC-CPN_Q&amp;A'!$O:$O,"Recall")</f>
        <v>#REF!</v>
      </c>
      <c r="AE34" s="83" t="e">
        <f>COUNTIFS('SPC-CPN_Q&amp;A'!#REF!,W$1,'SPC-CPN_Q&amp;A'!#REF!,'Writing assignments'!$C34,'SPC-CPN_Q&amp;A'!$O:$O,"Application")</f>
        <v>#REF!</v>
      </c>
      <c r="AF34" s="83" t="e">
        <f>COUNTIFS('SPC-CPN_Q&amp;A'!#REF!,W$1,'SPC-CPN_Q&amp;A'!#REF!,'Writing assignments'!$C34,'SPC-CPN_Q&amp;A'!$O:$O,"Analysis")</f>
        <v>#REF!</v>
      </c>
      <c r="AG34" s="82"/>
      <c r="AK34" s="84"/>
      <c r="AM34" s="83" t="e">
        <f t="shared" si="6"/>
        <v>#REF!</v>
      </c>
      <c r="AN34" s="83" t="e">
        <f>COUNTIFS('SPC-CPN_Q&amp;A'!#REF!,AG$1,'SPC-CPN_Q&amp;A'!#REF!,'Writing assignments'!$C34,'SPC-CPN_Q&amp;A'!$O:$O,"Recall")</f>
        <v>#REF!</v>
      </c>
      <c r="AO34" s="83" t="e">
        <f>COUNTIFS('SPC-CPN_Q&amp;A'!#REF!,AG$1,'SPC-CPN_Q&amp;A'!#REF!,'Writing assignments'!$C34,'SPC-CPN_Q&amp;A'!$O:$O,"Application")</f>
        <v>#REF!</v>
      </c>
      <c r="AP34" s="83" t="e">
        <f>COUNTIFS('SPC-CPN_Q&amp;A'!#REF!,AG$1,'SPC-CPN_Q&amp;A'!#REF!,'Writing assignments'!$C34,'SPC-CPN_Q&amp;A'!$O:$O,"Analysis")</f>
        <v>#REF!</v>
      </c>
      <c r="AQ34" s="82"/>
      <c r="AU34" s="84"/>
      <c r="BB34" s="83" t="e">
        <f t="shared" si="7"/>
        <v>#REF!</v>
      </c>
      <c r="BC34" s="83" t="e">
        <f>COUNTIFS('SPC-CPN_Q&amp;A'!#REF!,AV$1,'SPC-CPN_Q&amp;A'!#REF!,'Writing assignments'!$C34,'SPC-CPN_Q&amp;A'!$O:$O,"Recall")</f>
        <v>#REF!</v>
      </c>
      <c r="BD34" s="83" t="e">
        <f>COUNTIFS('SPC-CPN_Q&amp;A'!#REF!,AV$1,'SPC-CPN_Q&amp;A'!#REF!,'Writing assignments'!$C34,'SPC-CPN_Q&amp;A'!$O:$O,"Application")</f>
        <v>#REF!</v>
      </c>
      <c r="BE34" s="83" t="e">
        <f>COUNTIFS('SPC-CPN_Q&amp;A'!#REF!,AV$1,'SPC-CPN_Q&amp;A'!#REF!,'Writing assignments'!$C34,'SPC-CPN_Q&amp;A'!$O:$O,"Analysis")</f>
        <v>#REF!</v>
      </c>
      <c r="BF34" s="82"/>
      <c r="BJ34" s="84"/>
      <c r="BL34" s="83" t="e">
        <f t="shared" si="8"/>
        <v>#REF!</v>
      </c>
      <c r="BM34" s="83" t="e">
        <f>COUNTIFS('SPC-CPN_Q&amp;A'!#REF!,BF$1,'SPC-CPN_Q&amp;A'!#REF!,'Writing assignments'!$C34,'SPC-CPN_Q&amp;A'!$O:$O,"Recall")</f>
        <v>#REF!</v>
      </c>
      <c r="BN34" s="83" t="e">
        <f>COUNTIFS('SPC-CPN_Q&amp;A'!#REF!,BF$1,'SPC-CPN_Q&amp;A'!#REF!,'Writing assignments'!$C34,'SPC-CPN_Q&amp;A'!$O:$O,"Application")</f>
        <v>#REF!</v>
      </c>
      <c r="BO34" s="83" t="e">
        <f>COUNTIFS('SPC-CPN_Q&amp;A'!#REF!,BF$1,'SPC-CPN_Q&amp;A'!#REF!,'Writing assignments'!$C34,'SPC-CPN_Q&amp;A'!$O:$O,"Analysis")</f>
        <v>#REF!</v>
      </c>
      <c r="BP34" s="82"/>
      <c r="BT34" s="84"/>
      <c r="BV34" s="83" t="e">
        <f t="shared" si="9"/>
        <v>#REF!</v>
      </c>
      <c r="BW34" s="83" t="e">
        <f>COUNTIFS('SPC-CPN_Q&amp;A'!#REF!,BP$1,'SPC-CPN_Q&amp;A'!#REF!,'Writing assignments'!$C34,'SPC-CPN_Q&amp;A'!$O:$O,"Recall")</f>
        <v>#REF!</v>
      </c>
      <c r="BX34" s="83" t="e">
        <f>COUNTIFS('SPC-CPN_Q&amp;A'!#REF!,BP$1,'SPC-CPN_Q&amp;A'!#REF!,'Writing assignments'!$C34,'SPC-CPN_Q&amp;A'!$O:$O,"Application")</f>
        <v>#REF!</v>
      </c>
      <c r="BY34" s="83" t="e">
        <f>COUNTIFS('SPC-CPN_Q&amp;A'!#REF!,BP$1,'SPC-CPN_Q&amp;A'!#REF!,'Writing assignments'!$C34,'SPC-CPN_Q&amp;A'!$O:$O,"Analysis")</f>
        <v>#REF!</v>
      </c>
      <c r="CA34" s="83">
        <v>0</v>
      </c>
    </row>
    <row r="35" spans="2:79" x14ac:dyDescent="0.25">
      <c r="B35" s="74" t="s">
        <v>3602</v>
      </c>
      <c r="C35" s="74" t="s">
        <v>3607</v>
      </c>
      <c r="D35" s="6"/>
      <c r="E35" s="6">
        <v>1</v>
      </c>
      <c r="F35" s="6">
        <v>4</v>
      </c>
      <c r="G35" s="6">
        <v>2</v>
      </c>
      <c r="H35" s="6">
        <f t="shared" si="2"/>
        <v>7</v>
      </c>
      <c r="J35" s="42">
        <f t="shared" si="1"/>
        <v>0</v>
      </c>
      <c r="K35" s="82" t="s">
        <v>71</v>
      </c>
      <c r="L35" s="84">
        <v>1</v>
      </c>
      <c r="M35" s="82"/>
      <c r="N35" s="83">
        <f t="shared" si="3"/>
        <v>0</v>
      </c>
      <c r="S35" s="83" t="e">
        <f t="shared" si="4"/>
        <v>#REF!</v>
      </c>
      <c r="T35" s="83" t="e">
        <f>COUNTIFS('SPC-CPN_Q&amp;A'!#REF!,M$1,'SPC-CPN_Q&amp;A'!#REF!,'Writing assignments'!$C35,'SPC-CPN_Q&amp;A'!$O:$O,"Recall")</f>
        <v>#REF!</v>
      </c>
      <c r="U35" s="83" t="e">
        <f>COUNTIFS('SPC-CPN_Q&amp;A'!#REF!,M$1,'SPC-CPN_Q&amp;A'!#REF!,'Writing assignments'!$C35,'SPC-CPN_Q&amp;A'!$O:$O,"Application")</f>
        <v>#REF!</v>
      </c>
      <c r="V35" s="84" t="e">
        <f>COUNTIFS('SPC-CPN_Q&amp;A'!#REF!,M$1,'SPC-CPN_Q&amp;A'!#REF!,'Writing assignments'!$C35,'SPC-CPN_Q&amp;A'!$O:$O,"Analysis")</f>
        <v>#REF!</v>
      </c>
      <c r="W35" s="83" t="s">
        <v>71</v>
      </c>
      <c r="X35" s="83">
        <v>3</v>
      </c>
      <c r="Y35" s="83">
        <v>0</v>
      </c>
      <c r="Z35" s="83">
        <v>2</v>
      </c>
      <c r="AA35" s="84">
        <v>1</v>
      </c>
      <c r="AC35" s="83" t="e">
        <f t="shared" si="5"/>
        <v>#REF!</v>
      </c>
      <c r="AD35" s="83" t="e">
        <f>COUNTIFS('SPC-CPN_Q&amp;A'!#REF!,W$1,'SPC-CPN_Q&amp;A'!#REF!,'Writing assignments'!$C35,'SPC-CPN_Q&amp;A'!$O:$O,"Recall")</f>
        <v>#REF!</v>
      </c>
      <c r="AE35" s="83" t="e">
        <f>COUNTIFS('SPC-CPN_Q&amp;A'!#REF!,W$1,'SPC-CPN_Q&amp;A'!#REF!,'Writing assignments'!$C35,'SPC-CPN_Q&amp;A'!$O:$O,"Application")</f>
        <v>#REF!</v>
      </c>
      <c r="AF35" s="83" t="e">
        <f>COUNTIFS('SPC-CPN_Q&amp;A'!#REF!,W$1,'SPC-CPN_Q&amp;A'!#REF!,'Writing assignments'!$C35,'SPC-CPN_Q&amp;A'!$O:$O,"Analysis")</f>
        <v>#REF!</v>
      </c>
      <c r="AG35" s="82" t="s">
        <v>71</v>
      </c>
      <c r="AH35" s="83">
        <v>3</v>
      </c>
      <c r="AI35" s="83">
        <v>1</v>
      </c>
      <c r="AJ35" s="83">
        <v>1</v>
      </c>
      <c r="AK35" s="84">
        <v>1</v>
      </c>
      <c r="AM35" s="83" t="e">
        <f t="shared" si="6"/>
        <v>#REF!</v>
      </c>
      <c r="AN35" s="83" t="e">
        <f>COUNTIFS('SPC-CPN_Q&amp;A'!#REF!,AG$1,'SPC-CPN_Q&amp;A'!#REF!,'Writing assignments'!$C35,'SPC-CPN_Q&amp;A'!$O:$O,"Recall")</f>
        <v>#REF!</v>
      </c>
      <c r="AO35" s="83" t="e">
        <f>COUNTIFS('SPC-CPN_Q&amp;A'!#REF!,AG$1,'SPC-CPN_Q&amp;A'!#REF!,'Writing assignments'!$C35,'SPC-CPN_Q&amp;A'!$O:$O,"Application")</f>
        <v>#REF!</v>
      </c>
      <c r="AP35" s="83" t="e">
        <f>COUNTIFS('SPC-CPN_Q&amp;A'!#REF!,AG$1,'SPC-CPN_Q&amp;A'!#REF!,'Writing assignments'!$C35,'SPC-CPN_Q&amp;A'!$O:$O,"Analysis")</f>
        <v>#REF!</v>
      </c>
      <c r="AQ35" s="82"/>
      <c r="AU35" s="84"/>
      <c r="BB35" s="83" t="e">
        <f t="shared" si="7"/>
        <v>#REF!</v>
      </c>
      <c r="BC35" s="83" t="e">
        <f>COUNTIFS('SPC-CPN_Q&amp;A'!#REF!,AV$1,'SPC-CPN_Q&amp;A'!#REF!,'Writing assignments'!$C35,'SPC-CPN_Q&amp;A'!$O:$O,"Recall")</f>
        <v>#REF!</v>
      </c>
      <c r="BD35" s="83" t="e">
        <f>COUNTIFS('SPC-CPN_Q&amp;A'!#REF!,AV$1,'SPC-CPN_Q&amp;A'!#REF!,'Writing assignments'!$C35,'SPC-CPN_Q&amp;A'!$O:$O,"Application")</f>
        <v>#REF!</v>
      </c>
      <c r="BE35" s="83" t="e">
        <f>COUNTIFS('SPC-CPN_Q&amp;A'!#REF!,AV$1,'SPC-CPN_Q&amp;A'!#REF!,'Writing assignments'!$C35,'SPC-CPN_Q&amp;A'!$O:$O,"Analysis")</f>
        <v>#REF!</v>
      </c>
      <c r="BF35" s="82"/>
      <c r="BJ35" s="84"/>
      <c r="BL35" s="83" t="e">
        <f t="shared" si="8"/>
        <v>#REF!</v>
      </c>
      <c r="BM35" s="83" t="e">
        <f>COUNTIFS('SPC-CPN_Q&amp;A'!#REF!,BF$1,'SPC-CPN_Q&amp;A'!#REF!,'Writing assignments'!$C35,'SPC-CPN_Q&amp;A'!$O:$O,"Recall")</f>
        <v>#REF!</v>
      </c>
      <c r="BN35" s="83" t="e">
        <f>COUNTIFS('SPC-CPN_Q&amp;A'!#REF!,BF$1,'SPC-CPN_Q&amp;A'!#REF!,'Writing assignments'!$C35,'SPC-CPN_Q&amp;A'!$O:$O,"Application")</f>
        <v>#REF!</v>
      </c>
      <c r="BO35" s="83" t="e">
        <f>COUNTIFS('SPC-CPN_Q&amp;A'!#REF!,BF$1,'SPC-CPN_Q&amp;A'!#REF!,'Writing assignments'!$C35,'SPC-CPN_Q&amp;A'!$O:$O,"Analysis")</f>
        <v>#REF!</v>
      </c>
      <c r="BP35" s="82"/>
      <c r="BT35" s="84"/>
      <c r="BV35" s="83" t="e">
        <f t="shared" si="9"/>
        <v>#REF!</v>
      </c>
      <c r="BW35" s="83" t="e">
        <f>COUNTIFS('SPC-CPN_Q&amp;A'!#REF!,BP$1,'SPC-CPN_Q&amp;A'!#REF!,'Writing assignments'!$C35,'SPC-CPN_Q&amp;A'!$O:$O,"Recall")</f>
        <v>#REF!</v>
      </c>
      <c r="BX35" s="83" t="e">
        <f>COUNTIFS('SPC-CPN_Q&amp;A'!#REF!,BP$1,'SPC-CPN_Q&amp;A'!#REF!,'Writing assignments'!$C35,'SPC-CPN_Q&amp;A'!$O:$O,"Application")</f>
        <v>#REF!</v>
      </c>
      <c r="BY35" s="83" t="e">
        <f>COUNTIFS('SPC-CPN_Q&amp;A'!#REF!,BP$1,'SPC-CPN_Q&amp;A'!#REF!,'Writing assignments'!$C35,'SPC-CPN_Q&amp;A'!$O:$O,"Analysis")</f>
        <v>#REF!</v>
      </c>
      <c r="CA35" s="83">
        <v>0</v>
      </c>
    </row>
    <row r="36" spans="2:79" x14ac:dyDescent="0.25">
      <c r="B36" s="74" t="s">
        <v>3602</v>
      </c>
      <c r="C36" s="74" t="s">
        <v>3608</v>
      </c>
      <c r="D36" s="6"/>
      <c r="E36" s="6">
        <v>1</v>
      </c>
      <c r="F36" s="6">
        <v>4</v>
      </c>
      <c r="G36" s="6">
        <v>2</v>
      </c>
      <c r="H36" s="6">
        <f t="shared" si="2"/>
        <v>7</v>
      </c>
      <c r="J36" s="42">
        <f t="shared" si="1"/>
        <v>0</v>
      </c>
      <c r="K36" s="82" t="s">
        <v>71</v>
      </c>
      <c r="L36" s="84">
        <v>1</v>
      </c>
      <c r="M36" s="82" t="s">
        <v>71</v>
      </c>
      <c r="N36" s="83">
        <f t="shared" si="3"/>
        <v>1</v>
      </c>
      <c r="P36" s="83">
        <v>1</v>
      </c>
      <c r="Q36" s="84"/>
      <c r="S36" s="83" t="e">
        <f t="shared" si="4"/>
        <v>#REF!</v>
      </c>
      <c r="T36" s="83" t="e">
        <f>COUNTIFS('SPC-CPN_Q&amp;A'!#REF!,M$1,'SPC-CPN_Q&amp;A'!#REF!,'Writing assignments'!$C36,'SPC-CPN_Q&amp;A'!$O:$O,"Recall")</f>
        <v>#REF!</v>
      </c>
      <c r="U36" s="83" t="e">
        <f>COUNTIFS('SPC-CPN_Q&amp;A'!#REF!,M$1,'SPC-CPN_Q&amp;A'!#REF!,'Writing assignments'!$C36,'SPC-CPN_Q&amp;A'!$O:$O,"Application")</f>
        <v>#REF!</v>
      </c>
      <c r="V36" s="84" t="e">
        <f>COUNTIFS('SPC-CPN_Q&amp;A'!#REF!,M$1,'SPC-CPN_Q&amp;A'!#REF!,'Writing assignments'!$C36,'SPC-CPN_Q&amp;A'!$O:$O,"Analysis")</f>
        <v>#REF!</v>
      </c>
      <c r="AA36" s="84"/>
      <c r="AC36" s="83" t="e">
        <f t="shared" si="5"/>
        <v>#REF!</v>
      </c>
      <c r="AD36" s="83" t="e">
        <f>COUNTIFS('SPC-CPN_Q&amp;A'!#REF!,W$1,'SPC-CPN_Q&amp;A'!#REF!,'Writing assignments'!$C36,'SPC-CPN_Q&amp;A'!$O:$O,"Recall")</f>
        <v>#REF!</v>
      </c>
      <c r="AE36" s="83" t="e">
        <f>COUNTIFS('SPC-CPN_Q&amp;A'!#REF!,W$1,'SPC-CPN_Q&amp;A'!#REF!,'Writing assignments'!$C36,'SPC-CPN_Q&amp;A'!$O:$O,"Application")</f>
        <v>#REF!</v>
      </c>
      <c r="AF36" s="83" t="e">
        <f>COUNTIFS('SPC-CPN_Q&amp;A'!#REF!,W$1,'SPC-CPN_Q&amp;A'!#REF!,'Writing assignments'!$C36,'SPC-CPN_Q&amp;A'!$O:$O,"Analysis")</f>
        <v>#REF!</v>
      </c>
      <c r="AG36" s="82"/>
      <c r="AK36" s="84"/>
      <c r="AM36" s="83" t="e">
        <f t="shared" si="6"/>
        <v>#REF!</v>
      </c>
      <c r="AN36" s="83" t="e">
        <f>COUNTIFS('SPC-CPN_Q&amp;A'!#REF!,AG$1,'SPC-CPN_Q&amp;A'!#REF!,'Writing assignments'!$C36,'SPC-CPN_Q&amp;A'!$O:$O,"Recall")</f>
        <v>#REF!</v>
      </c>
      <c r="AO36" s="83" t="e">
        <f>COUNTIFS('SPC-CPN_Q&amp;A'!#REF!,AG$1,'SPC-CPN_Q&amp;A'!#REF!,'Writing assignments'!$C36,'SPC-CPN_Q&amp;A'!$O:$O,"Application")</f>
        <v>#REF!</v>
      </c>
      <c r="AP36" s="83" t="e">
        <f>COUNTIFS('SPC-CPN_Q&amp;A'!#REF!,AG$1,'SPC-CPN_Q&amp;A'!#REF!,'Writing assignments'!$C36,'SPC-CPN_Q&amp;A'!$O:$O,"Analysis")</f>
        <v>#REF!</v>
      </c>
      <c r="AQ36" s="82"/>
      <c r="AU36" s="84"/>
      <c r="AV36" s="82" t="s">
        <v>71</v>
      </c>
      <c r="AW36" s="83">
        <v>2</v>
      </c>
      <c r="AX36" s="83">
        <v>1</v>
      </c>
      <c r="AY36" s="83">
        <v>0</v>
      </c>
      <c r="AZ36" s="84">
        <v>1</v>
      </c>
      <c r="BB36" s="83" t="e">
        <f t="shared" si="7"/>
        <v>#REF!</v>
      </c>
      <c r="BC36" s="83" t="e">
        <f>COUNTIFS('SPC-CPN_Q&amp;A'!#REF!,AV$1,'SPC-CPN_Q&amp;A'!#REF!,'Writing assignments'!$C36,'SPC-CPN_Q&amp;A'!$O:$O,"Recall")</f>
        <v>#REF!</v>
      </c>
      <c r="BD36" s="83" t="e">
        <f>COUNTIFS('SPC-CPN_Q&amp;A'!#REF!,AV$1,'SPC-CPN_Q&amp;A'!#REF!,'Writing assignments'!$C36,'SPC-CPN_Q&amp;A'!$O:$O,"Application")</f>
        <v>#REF!</v>
      </c>
      <c r="BE36" s="83" t="e">
        <f>COUNTIFS('SPC-CPN_Q&amp;A'!#REF!,AV$1,'SPC-CPN_Q&amp;A'!#REF!,'Writing assignments'!$C36,'SPC-CPN_Q&amp;A'!$O:$O,"Analysis")</f>
        <v>#REF!</v>
      </c>
      <c r="BF36" s="82" t="s">
        <v>71</v>
      </c>
      <c r="BG36" s="83">
        <v>3</v>
      </c>
      <c r="BH36" s="83">
        <v>0</v>
      </c>
      <c r="BI36" s="83">
        <v>2</v>
      </c>
      <c r="BJ36" s="84">
        <v>1</v>
      </c>
      <c r="BL36" s="83" t="e">
        <f t="shared" si="8"/>
        <v>#REF!</v>
      </c>
      <c r="BM36" s="83" t="e">
        <f>COUNTIFS('SPC-CPN_Q&amp;A'!#REF!,BF$1,'SPC-CPN_Q&amp;A'!#REF!,'Writing assignments'!$C36,'SPC-CPN_Q&amp;A'!$O:$O,"Recall")</f>
        <v>#REF!</v>
      </c>
      <c r="BN36" s="83" t="e">
        <f>COUNTIFS('SPC-CPN_Q&amp;A'!#REF!,BF$1,'SPC-CPN_Q&amp;A'!#REF!,'Writing assignments'!$C36,'SPC-CPN_Q&amp;A'!$O:$O,"Application")</f>
        <v>#REF!</v>
      </c>
      <c r="BO36" s="83" t="e">
        <f>COUNTIFS('SPC-CPN_Q&amp;A'!#REF!,BF$1,'SPC-CPN_Q&amp;A'!#REF!,'Writing assignments'!$C36,'SPC-CPN_Q&amp;A'!$O:$O,"Analysis")</f>
        <v>#REF!</v>
      </c>
      <c r="BP36" s="82"/>
      <c r="BT36" s="84"/>
      <c r="BV36" s="83" t="e">
        <f t="shared" si="9"/>
        <v>#REF!</v>
      </c>
      <c r="BW36" s="83" t="e">
        <f>COUNTIFS('SPC-CPN_Q&amp;A'!#REF!,BP$1,'SPC-CPN_Q&amp;A'!#REF!,'Writing assignments'!$C36,'SPC-CPN_Q&amp;A'!$O:$O,"Recall")</f>
        <v>#REF!</v>
      </c>
      <c r="BX36" s="83" t="e">
        <f>COUNTIFS('SPC-CPN_Q&amp;A'!#REF!,BP$1,'SPC-CPN_Q&amp;A'!#REF!,'Writing assignments'!$C36,'SPC-CPN_Q&amp;A'!$O:$O,"Application")</f>
        <v>#REF!</v>
      </c>
      <c r="BY36" s="83" t="e">
        <f>COUNTIFS('SPC-CPN_Q&amp;A'!#REF!,BP$1,'SPC-CPN_Q&amp;A'!#REF!,'Writing assignments'!$C36,'SPC-CPN_Q&amp;A'!$O:$O,"Analysis")</f>
        <v>#REF!</v>
      </c>
      <c r="CA36" s="83">
        <v>0</v>
      </c>
    </row>
    <row r="37" spans="2:79" x14ac:dyDescent="0.25">
      <c r="B37" s="74" t="s">
        <v>3602</v>
      </c>
      <c r="C37" s="74" t="s">
        <v>3609</v>
      </c>
      <c r="D37" s="6"/>
      <c r="E37" s="6">
        <v>1</v>
      </c>
      <c r="F37" s="6">
        <v>4</v>
      </c>
      <c r="G37" s="6">
        <v>2</v>
      </c>
      <c r="H37" s="6">
        <f t="shared" si="2"/>
        <v>7</v>
      </c>
      <c r="J37" s="42">
        <f t="shared" ref="J37:J68" si="10">H37-SUM(N37,X37,AH37,AW37,BG37,BQ37,L37,CA37)</f>
        <v>0</v>
      </c>
      <c r="K37" s="82" t="s">
        <v>71</v>
      </c>
      <c r="L37" s="84">
        <v>1</v>
      </c>
      <c r="M37" s="82" t="s">
        <v>71</v>
      </c>
      <c r="N37" s="83">
        <f t="shared" si="3"/>
        <v>1</v>
      </c>
      <c r="P37" s="83">
        <v>1</v>
      </c>
      <c r="S37" s="83" t="e">
        <f t="shared" si="4"/>
        <v>#REF!</v>
      </c>
      <c r="T37" s="83" t="e">
        <f>COUNTIFS('SPC-CPN_Q&amp;A'!#REF!,M$1,'SPC-CPN_Q&amp;A'!#REF!,'Writing assignments'!$C37,'SPC-CPN_Q&amp;A'!$O:$O,"Recall")</f>
        <v>#REF!</v>
      </c>
      <c r="U37" s="83" t="e">
        <f>COUNTIFS('SPC-CPN_Q&amp;A'!#REF!,M$1,'SPC-CPN_Q&amp;A'!#REF!,'Writing assignments'!$C37,'SPC-CPN_Q&amp;A'!$O:$O,"Application")</f>
        <v>#REF!</v>
      </c>
      <c r="V37" s="84" t="e">
        <f>COUNTIFS('SPC-CPN_Q&amp;A'!#REF!,M$1,'SPC-CPN_Q&amp;A'!#REF!,'Writing assignments'!$C37,'SPC-CPN_Q&amp;A'!$O:$O,"Analysis")</f>
        <v>#REF!</v>
      </c>
      <c r="AA37" s="84"/>
      <c r="AC37" s="83" t="e">
        <f t="shared" si="5"/>
        <v>#REF!</v>
      </c>
      <c r="AD37" s="83" t="e">
        <f>COUNTIFS('SPC-CPN_Q&amp;A'!#REF!,W$1,'SPC-CPN_Q&amp;A'!#REF!,'Writing assignments'!$C37,'SPC-CPN_Q&amp;A'!$O:$O,"Recall")</f>
        <v>#REF!</v>
      </c>
      <c r="AE37" s="83" t="e">
        <f>COUNTIFS('SPC-CPN_Q&amp;A'!#REF!,W$1,'SPC-CPN_Q&amp;A'!#REF!,'Writing assignments'!$C37,'SPC-CPN_Q&amp;A'!$O:$O,"Application")</f>
        <v>#REF!</v>
      </c>
      <c r="AF37" s="83" t="e">
        <f>COUNTIFS('SPC-CPN_Q&amp;A'!#REF!,W$1,'SPC-CPN_Q&amp;A'!#REF!,'Writing assignments'!$C37,'SPC-CPN_Q&amp;A'!$O:$O,"Analysis")</f>
        <v>#REF!</v>
      </c>
      <c r="AG37" s="82"/>
      <c r="AK37" s="84"/>
      <c r="AM37" s="83" t="e">
        <f t="shared" si="6"/>
        <v>#REF!</v>
      </c>
      <c r="AN37" s="83" t="e">
        <f>COUNTIFS('SPC-CPN_Q&amp;A'!#REF!,AG$1,'SPC-CPN_Q&amp;A'!#REF!,'Writing assignments'!$C37,'SPC-CPN_Q&amp;A'!$O:$O,"Recall")</f>
        <v>#REF!</v>
      </c>
      <c r="AO37" s="83" t="e">
        <f>COUNTIFS('SPC-CPN_Q&amp;A'!#REF!,AG$1,'SPC-CPN_Q&amp;A'!#REF!,'Writing assignments'!$C37,'SPC-CPN_Q&amp;A'!$O:$O,"Application")</f>
        <v>#REF!</v>
      </c>
      <c r="AP37" s="83" t="e">
        <f>COUNTIFS('SPC-CPN_Q&amp;A'!#REF!,AG$1,'SPC-CPN_Q&amp;A'!#REF!,'Writing assignments'!$C37,'SPC-CPN_Q&amp;A'!$O:$O,"Analysis")</f>
        <v>#REF!</v>
      </c>
      <c r="AQ37" s="82"/>
      <c r="AU37" s="84"/>
      <c r="BB37" s="83" t="e">
        <f t="shared" si="7"/>
        <v>#REF!</v>
      </c>
      <c r="BC37" s="83" t="e">
        <f>COUNTIFS('SPC-CPN_Q&amp;A'!#REF!,AV$1,'SPC-CPN_Q&amp;A'!#REF!,'Writing assignments'!$C37,'SPC-CPN_Q&amp;A'!$O:$O,"Recall")</f>
        <v>#REF!</v>
      </c>
      <c r="BD37" s="83" t="e">
        <f>COUNTIFS('SPC-CPN_Q&amp;A'!#REF!,AV$1,'SPC-CPN_Q&amp;A'!#REF!,'Writing assignments'!$C37,'SPC-CPN_Q&amp;A'!$O:$O,"Application")</f>
        <v>#REF!</v>
      </c>
      <c r="BE37" s="83" t="e">
        <f>COUNTIFS('SPC-CPN_Q&amp;A'!#REF!,AV$1,'SPC-CPN_Q&amp;A'!#REF!,'Writing assignments'!$C37,'SPC-CPN_Q&amp;A'!$O:$O,"Analysis")</f>
        <v>#REF!</v>
      </c>
      <c r="BF37" s="82" t="s">
        <v>71</v>
      </c>
      <c r="BG37" s="83">
        <v>3</v>
      </c>
      <c r="BH37" s="83">
        <v>1</v>
      </c>
      <c r="BI37" s="83">
        <v>1</v>
      </c>
      <c r="BJ37" s="84">
        <v>1</v>
      </c>
      <c r="BL37" s="83" t="e">
        <f t="shared" si="8"/>
        <v>#REF!</v>
      </c>
      <c r="BM37" s="83" t="e">
        <f>COUNTIFS('SPC-CPN_Q&amp;A'!#REF!,BF$1,'SPC-CPN_Q&amp;A'!#REF!,'Writing assignments'!$C37,'SPC-CPN_Q&amp;A'!$O:$O,"Recall")</f>
        <v>#REF!</v>
      </c>
      <c r="BN37" s="83" t="e">
        <f>COUNTIFS('SPC-CPN_Q&amp;A'!#REF!,BF$1,'SPC-CPN_Q&amp;A'!#REF!,'Writing assignments'!$C37,'SPC-CPN_Q&amp;A'!$O:$O,"Application")</f>
        <v>#REF!</v>
      </c>
      <c r="BO37" s="83" t="e">
        <f>COUNTIFS('SPC-CPN_Q&amp;A'!#REF!,BF$1,'SPC-CPN_Q&amp;A'!#REF!,'Writing assignments'!$C37,'SPC-CPN_Q&amp;A'!$O:$O,"Analysis")</f>
        <v>#REF!</v>
      </c>
      <c r="BP37" s="82" t="s">
        <v>71</v>
      </c>
      <c r="BQ37" s="83">
        <v>2</v>
      </c>
      <c r="BR37" s="83">
        <v>0</v>
      </c>
      <c r="BS37" s="83">
        <v>1</v>
      </c>
      <c r="BT37" s="84">
        <v>1</v>
      </c>
      <c r="BV37" s="83" t="e">
        <f t="shared" si="9"/>
        <v>#REF!</v>
      </c>
      <c r="BW37" s="83" t="e">
        <f>COUNTIFS('SPC-CPN_Q&amp;A'!#REF!,BP$1,'SPC-CPN_Q&amp;A'!#REF!,'Writing assignments'!$C37,'SPC-CPN_Q&amp;A'!$O:$O,"Recall")</f>
        <v>#REF!</v>
      </c>
      <c r="BX37" s="83" t="e">
        <f>COUNTIFS('SPC-CPN_Q&amp;A'!#REF!,BP$1,'SPC-CPN_Q&amp;A'!#REF!,'Writing assignments'!$C37,'SPC-CPN_Q&amp;A'!$O:$O,"Application")</f>
        <v>#REF!</v>
      </c>
      <c r="BY37" s="83" t="e">
        <f>COUNTIFS('SPC-CPN_Q&amp;A'!#REF!,BP$1,'SPC-CPN_Q&amp;A'!#REF!,'Writing assignments'!$C37,'SPC-CPN_Q&amp;A'!$O:$O,"Analysis")</f>
        <v>#REF!</v>
      </c>
      <c r="CA37" s="83">
        <v>0</v>
      </c>
    </row>
    <row r="38" spans="2:79" x14ac:dyDescent="0.25">
      <c r="B38" s="74" t="s">
        <v>3602</v>
      </c>
      <c r="C38" s="74" t="s">
        <v>3610</v>
      </c>
      <c r="D38" s="6"/>
      <c r="E38" s="6">
        <v>1</v>
      </c>
      <c r="F38" s="6">
        <v>4</v>
      </c>
      <c r="G38" s="6">
        <v>2</v>
      </c>
      <c r="H38" s="6">
        <f t="shared" si="2"/>
        <v>7</v>
      </c>
      <c r="J38" s="42">
        <f t="shared" si="10"/>
        <v>0</v>
      </c>
      <c r="K38" s="82" t="s">
        <v>71</v>
      </c>
      <c r="L38" s="84">
        <v>1</v>
      </c>
      <c r="M38" s="82"/>
      <c r="N38" s="83">
        <f t="shared" si="3"/>
        <v>0</v>
      </c>
      <c r="S38" s="83" t="e">
        <f t="shared" si="4"/>
        <v>#REF!</v>
      </c>
      <c r="T38" s="83" t="e">
        <f>COUNTIFS('SPC-CPN_Q&amp;A'!#REF!,M$1,'SPC-CPN_Q&amp;A'!#REF!,'Writing assignments'!$C38,'SPC-CPN_Q&amp;A'!$O:$O,"Recall")</f>
        <v>#REF!</v>
      </c>
      <c r="U38" s="83" t="e">
        <f>COUNTIFS('SPC-CPN_Q&amp;A'!#REF!,M$1,'SPC-CPN_Q&amp;A'!#REF!,'Writing assignments'!$C38,'SPC-CPN_Q&amp;A'!$O:$O,"Application")</f>
        <v>#REF!</v>
      </c>
      <c r="V38" s="84" t="e">
        <f>COUNTIFS('SPC-CPN_Q&amp;A'!#REF!,M$1,'SPC-CPN_Q&amp;A'!#REF!,'Writing assignments'!$C38,'SPC-CPN_Q&amp;A'!$O:$O,"Analysis")</f>
        <v>#REF!</v>
      </c>
      <c r="W38" s="83" t="s">
        <v>71</v>
      </c>
      <c r="X38" s="83">
        <v>3</v>
      </c>
      <c r="Y38" s="83">
        <v>1</v>
      </c>
      <c r="Z38" s="83">
        <v>1</v>
      </c>
      <c r="AA38" s="84">
        <v>1</v>
      </c>
      <c r="AC38" s="83" t="e">
        <f t="shared" si="5"/>
        <v>#REF!</v>
      </c>
      <c r="AD38" s="83" t="e">
        <f>COUNTIFS('SPC-CPN_Q&amp;A'!#REF!,W$1,'SPC-CPN_Q&amp;A'!#REF!,'Writing assignments'!$C38,'SPC-CPN_Q&amp;A'!$O:$O,"Recall")</f>
        <v>#REF!</v>
      </c>
      <c r="AE38" s="83" t="e">
        <f>COUNTIFS('SPC-CPN_Q&amp;A'!#REF!,W$1,'SPC-CPN_Q&amp;A'!#REF!,'Writing assignments'!$C38,'SPC-CPN_Q&amp;A'!$O:$O,"Application")</f>
        <v>#REF!</v>
      </c>
      <c r="AF38" s="83" t="e">
        <f>COUNTIFS('SPC-CPN_Q&amp;A'!#REF!,W$1,'SPC-CPN_Q&amp;A'!#REF!,'Writing assignments'!$C38,'SPC-CPN_Q&amp;A'!$O:$O,"Analysis")</f>
        <v>#REF!</v>
      </c>
      <c r="AG38" s="82" t="s">
        <v>71</v>
      </c>
      <c r="AH38" s="83">
        <v>3</v>
      </c>
      <c r="AI38" s="83">
        <v>0</v>
      </c>
      <c r="AJ38" s="83">
        <v>2</v>
      </c>
      <c r="AK38" s="84">
        <v>1</v>
      </c>
      <c r="AM38" s="83" t="e">
        <f t="shared" si="6"/>
        <v>#REF!</v>
      </c>
      <c r="AN38" s="83" t="e">
        <f>COUNTIFS('SPC-CPN_Q&amp;A'!#REF!,AG$1,'SPC-CPN_Q&amp;A'!#REF!,'Writing assignments'!$C38,'SPC-CPN_Q&amp;A'!$O:$O,"Recall")</f>
        <v>#REF!</v>
      </c>
      <c r="AO38" s="83" t="e">
        <f>COUNTIFS('SPC-CPN_Q&amp;A'!#REF!,AG$1,'SPC-CPN_Q&amp;A'!#REF!,'Writing assignments'!$C38,'SPC-CPN_Q&amp;A'!$O:$O,"Application")</f>
        <v>#REF!</v>
      </c>
      <c r="AP38" s="83" t="e">
        <f>COUNTIFS('SPC-CPN_Q&amp;A'!#REF!,AG$1,'SPC-CPN_Q&amp;A'!#REF!,'Writing assignments'!$C38,'SPC-CPN_Q&amp;A'!$O:$O,"Analysis")</f>
        <v>#REF!</v>
      </c>
      <c r="AQ38" s="82"/>
      <c r="AU38" s="84"/>
      <c r="BB38" s="83" t="e">
        <f t="shared" si="7"/>
        <v>#REF!</v>
      </c>
      <c r="BC38" s="83" t="e">
        <f>COUNTIFS('SPC-CPN_Q&amp;A'!#REF!,AV$1,'SPC-CPN_Q&amp;A'!#REF!,'Writing assignments'!$C38,'SPC-CPN_Q&amp;A'!$O:$O,"Recall")</f>
        <v>#REF!</v>
      </c>
      <c r="BD38" s="83" t="e">
        <f>COUNTIFS('SPC-CPN_Q&amp;A'!#REF!,AV$1,'SPC-CPN_Q&amp;A'!#REF!,'Writing assignments'!$C38,'SPC-CPN_Q&amp;A'!$O:$O,"Application")</f>
        <v>#REF!</v>
      </c>
      <c r="BE38" s="83" t="e">
        <f>COUNTIFS('SPC-CPN_Q&amp;A'!#REF!,AV$1,'SPC-CPN_Q&amp;A'!#REF!,'Writing assignments'!$C38,'SPC-CPN_Q&amp;A'!$O:$O,"Analysis")</f>
        <v>#REF!</v>
      </c>
      <c r="BF38" s="82"/>
      <c r="BJ38" s="84"/>
      <c r="BL38" s="83" t="e">
        <f t="shared" si="8"/>
        <v>#REF!</v>
      </c>
      <c r="BM38" s="83" t="e">
        <f>COUNTIFS('SPC-CPN_Q&amp;A'!#REF!,BF$1,'SPC-CPN_Q&amp;A'!#REF!,'Writing assignments'!$C38,'SPC-CPN_Q&amp;A'!$O:$O,"Recall")</f>
        <v>#REF!</v>
      </c>
      <c r="BN38" s="83" t="e">
        <f>COUNTIFS('SPC-CPN_Q&amp;A'!#REF!,BF$1,'SPC-CPN_Q&amp;A'!#REF!,'Writing assignments'!$C38,'SPC-CPN_Q&amp;A'!$O:$O,"Application")</f>
        <v>#REF!</v>
      </c>
      <c r="BO38" s="83" t="e">
        <f>COUNTIFS('SPC-CPN_Q&amp;A'!#REF!,BF$1,'SPC-CPN_Q&amp;A'!#REF!,'Writing assignments'!$C38,'SPC-CPN_Q&amp;A'!$O:$O,"Analysis")</f>
        <v>#REF!</v>
      </c>
      <c r="BP38" s="82"/>
      <c r="BT38" s="84"/>
      <c r="BV38" s="83" t="e">
        <f t="shared" si="9"/>
        <v>#REF!</v>
      </c>
      <c r="BW38" s="83" t="e">
        <f>COUNTIFS('SPC-CPN_Q&amp;A'!#REF!,BP$1,'SPC-CPN_Q&amp;A'!#REF!,'Writing assignments'!$C38,'SPC-CPN_Q&amp;A'!$O:$O,"Recall")</f>
        <v>#REF!</v>
      </c>
      <c r="BX38" s="83" t="e">
        <f>COUNTIFS('SPC-CPN_Q&amp;A'!#REF!,BP$1,'SPC-CPN_Q&amp;A'!#REF!,'Writing assignments'!$C38,'SPC-CPN_Q&amp;A'!$O:$O,"Application")</f>
        <v>#REF!</v>
      </c>
      <c r="BY38" s="83" t="e">
        <f>COUNTIFS('SPC-CPN_Q&amp;A'!#REF!,BP$1,'SPC-CPN_Q&amp;A'!#REF!,'Writing assignments'!$C38,'SPC-CPN_Q&amp;A'!$O:$O,"Analysis")</f>
        <v>#REF!</v>
      </c>
      <c r="CA38" s="83">
        <v>0</v>
      </c>
    </row>
    <row r="39" spans="2:79" x14ac:dyDescent="0.25">
      <c r="B39" s="74" t="s">
        <v>3602</v>
      </c>
      <c r="C39" s="74" t="s">
        <v>3611</v>
      </c>
      <c r="D39" s="6"/>
      <c r="E39" s="6">
        <v>1</v>
      </c>
      <c r="F39" s="6">
        <v>4</v>
      </c>
      <c r="G39" s="6">
        <v>2</v>
      </c>
      <c r="H39" s="6">
        <f t="shared" si="2"/>
        <v>7</v>
      </c>
      <c r="J39" s="42">
        <f t="shared" si="10"/>
        <v>0</v>
      </c>
      <c r="K39" s="82" t="s">
        <v>71</v>
      </c>
      <c r="L39" s="84">
        <v>1</v>
      </c>
      <c r="M39" s="82"/>
      <c r="N39" s="83">
        <f t="shared" si="3"/>
        <v>0</v>
      </c>
      <c r="S39" s="83" t="e">
        <f t="shared" si="4"/>
        <v>#REF!</v>
      </c>
      <c r="T39" s="83" t="e">
        <f>COUNTIFS('SPC-CPN_Q&amp;A'!#REF!,M$1,'SPC-CPN_Q&amp;A'!#REF!,'Writing assignments'!$C39,'SPC-CPN_Q&amp;A'!$O:$O,"Recall")</f>
        <v>#REF!</v>
      </c>
      <c r="U39" s="83" t="e">
        <f>COUNTIFS('SPC-CPN_Q&amp;A'!#REF!,M$1,'SPC-CPN_Q&amp;A'!#REF!,'Writing assignments'!$C39,'SPC-CPN_Q&amp;A'!$O:$O,"Application")</f>
        <v>#REF!</v>
      </c>
      <c r="V39" s="84" t="e">
        <f>COUNTIFS('SPC-CPN_Q&amp;A'!#REF!,M$1,'SPC-CPN_Q&amp;A'!#REF!,'Writing assignments'!$C39,'SPC-CPN_Q&amp;A'!$O:$O,"Analysis")</f>
        <v>#REF!</v>
      </c>
      <c r="W39" s="83" t="s">
        <v>71</v>
      </c>
      <c r="X39" s="83">
        <v>3</v>
      </c>
      <c r="Y39" s="83">
        <v>0</v>
      </c>
      <c r="Z39" s="83">
        <v>2</v>
      </c>
      <c r="AA39" s="84">
        <v>1</v>
      </c>
      <c r="AC39" s="83" t="e">
        <f t="shared" si="5"/>
        <v>#REF!</v>
      </c>
      <c r="AD39" s="83" t="e">
        <f>COUNTIFS('SPC-CPN_Q&amp;A'!#REF!,W$1,'SPC-CPN_Q&amp;A'!#REF!,'Writing assignments'!$C39,'SPC-CPN_Q&amp;A'!$O:$O,"Recall")</f>
        <v>#REF!</v>
      </c>
      <c r="AE39" s="83" t="e">
        <f>COUNTIFS('SPC-CPN_Q&amp;A'!#REF!,W$1,'SPC-CPN_Q&amp;A'!#REF!,'Writing assignments'!$C39,'SPC-CPN_Q&amp;A'!$O:$O,"Application")</f>
        <v>#REF!</v>
      </c>
      <c r="AF39" s="83" t="e">
        <f>COUNTIFS('SPC-CPN_Q&amp;A'!#REF!,W$1,'SPC-CPN_Q&amp;A'!#REF!,'Writing assignments'!$C39,'SPC-CPN_Q&amp;A'!$O:$O,"Analysis")</f>
        <v>#REF!</v>
      </c>
      <c r="AG39" s="82" t="s">
        <v>71</v>
      </c>
      <c r="AH39" s="83">
        <v>3</v>
      </c>
      <c r="AI39" s="83">
        <v>1</v>
      </c>
      <c r="AJ39" s="83">
        <v>1</v>
      </c>
      <c r="AK39" s="84">
        <v>1</v>
      </c>
      <c r="AM39" s="83" t="e">
        <f t="shared" si="6"/>
        <v>#REF!</v>
      </c>
      <c r="AN39" s="83" t="e">
        <f>COUNTIFS('SPC-CPN_Q&amp;A'!#REF!,AG$1,'SPC-CPN_Q&amp;A'!#REF!,'Writing assignments'!$C39,'SPC-CPN_Q&amp;A'!$O:$O,"Recall")</f>
        <v>#REF!</v>
      </c>
      <c r="AO39" s="83" t="e">
        <f>COUNTIFS('SPC-CPN_Q&amp;A'!#REF!,AG$1,'SPC-CPN_Q&amp;A'!#REF!,'Writing assignments'!$C39,'SPC-CPN_Q&amp;A'!$O:$O,"Application")</f>
        <v>#REF!</v>
      </c>
      <c r="AP39" s="83" t="e">
        <f>COUNTIFS('SPC-CPN_Q&amp;A'!#REF!,AG$1,'SPC-CPN_Q&amp;A'!#REF!,'Writing assignments'!$C39,'SPC-CPN_Q&amp;A'!$O:$O,"Analysis")</f>
        <v>#REF!</v>
      </c>
      <c r="AQ39" s="82"/>
      <c r="AU39" s="84"/>
      <c r="BB39" s="83" t="e">
        <f t="shared" si="7"/>
        <v>#REF!</v>
      </c>
      <c r="BC39" s="83" t="e">
        <f>COUNTIFS('SPC-CPN_Q&amp;A'!#REF!,AV$1,'SPC-CPN_Q&amp;A'!#REF!,'Writing assignments'!$C39,'SPC-CPN_Q&amp;A'!$O:$O,"Recall")</f>
        <v>#REF!</v>
      </c>
      <c r="BD39" s="83" t="e">
        <f>COUNTIFS('SPC-CPN_Q&amp;A'!#REF!,AV$1,'SPC-CPN_Q&amp;A'!#REF!,'Writing assignments'!$C39,'SPC-CPN_Q&amp;A'!$O:$O,"Application")</f>
        <v>#REF!</v>
      </c>
      <c r="BE39" s="83" t="e">
        <f>COUNTIFS('SPC-CPN_Q&amp;A'!#REF!,AV$1,'SPC-CPN_Q&amp;A'!#REF!,'Writing assignments'!$C39,'SPC-CPN_Q&amp;A'!$O:$O,"Analysis")</f>
        <v>#REF!</v>
      </c>
      <c r="BF39" s="82"/>
      <c r="BJ39" s="84"/>
      <c r="BL39" s="83" t="e">
        <f t="shared" si="8"/>
        <v>#REF!</v>
      </c>
      <c r="BM39" s="83" t="e">
        <f>COUNTIFS('SPC-CPN_Q&amp;A'!#REF!,BF$1,'SPC-CPN_Q&amp;A'!#REF!,'Writing assignments'!$C39,'SPC-CPN_Q&amp;A'!$O:$O,"Recall")</f>
        <v>#REF!</v>
      </c>
      <c r="BN39" s="83" t="e">
        <f>COUNTIFS('SPC-CPN_Q&amp;A'!#REF!,BF$1,'SPC-CPN_Q&amp;A'!#REF!,'Writing assignments'!$C39,'SPC-CPN_Q&amp;A'!$O:$O,"Application")</f>
        <v>#REF!</v>
      </c>
      <c r="BO39" s="83" t="e">
        <f>COUNTIFS('SPC-CPN_Q&amp;A'!#REF!,BF$1,'SPC-CPN_Q&amp;A'!#REF!,'Writing assignments'!$C39,'SPC-CPN_Q&amp;A'!$O:$O,"Analysis")</f>
        <v>#REF!</v>
      </c>
      <c r="BP39" s="82"/>
      <c r="BT39" s="84"/>
      <c r="BV39" s="83" t="e">
        <f t="shared" si="9"/>
        <v>#REF!</v>
      </c>
      <c r="BW39" s="83" t="e">
        <f>COUNTIFS('SPC-CPN_Q&amp;A'!#REF!,BP$1,'SPC-CPN_Q&amp;A'!#REF!,'Writing assignments'!$C39,'SPC-CPN_Q&amp;A'!$O:$O,"Recall")</f>
        <v>#REF!</v>
      </c>
      <c r="BX39" s="83" t="e">
        <f>COUNTIFS('SPC-CPN_Q&amp;A'!#REF!,BP$1,'SPC-CPN_Q&amp;A'!#REF!,'Writing assignments'!$C39,'SPC-CPN_Q&amp;A'!$O:$O,"Application")</f>
        <v>#REF!</v>
      </c>
      <c r="BY39" s="83" t="e">
        <f>COUNTIFS('SPC-CPN_Q&amp;A'!#REF!,BP$1,'SPC-CPN_Q&amp;A'!#REF!,'Writing assignments'!$C39,'SPC-CPN_Q&amp;A'!$O:$O,"Analysis")</f>
        <v>#REF!</v>
      </c>
      <c r="CA39" s="83">
        <v>0</v>
      </c>
    </row>
    <row r="40" spans="2:79" x14ac:dyDescent="0.25">
      <c r="B40" s="74" t="s">
        <v>3602</v>
      </c>
      <c r="C40" s="74" t="s">
        <v>3612</v>
      </c>
      <c r="D40" s="6"/>
      <c r="E40" s="6">
        <v>1</v>
      </c>
      <c r="F40" s="6">
        <v>4</v>
      </c>
      <c r="G40" s="6">
        <v>2</v>
      </c>
      <c r="H40" s="6">
        <f t="shared" si="2"/>
        <v>7</v>
      </c>
      <c r="J40" s="42">
        <f t="shared" si="10"/>
        <v>0</v>
      </c>
      <c r="K40" s="82" t="s">
        <v>71</v>
      </c>
      <c r="L40" s="84">
        <v>1</v>
      </c>
      <c r="M40" s="82"/>
      <c r="N40" s="83">
        <f t="shared" si="3"/>
        <v>0</v>
      </c>
      <c r="Q40" s="84"/>
      <c r="S40" s="83" t="e">
        <f t="shared" si="4"/>
        <v>#REF!</v>
      </c>
      <c r="T40" s="83" t="e">
        <f>COUNTIFS('SPC-CPN_Q&amp;A'!#REF!,M$1,'SPC-CPN_Q&amp;A'!#REF!,'Writing assignments'!$C40,'SPC-CPN_Q&amp;A'!$O:$O,"Recall")</f>
        <v>#REF!</v>
      </c>
      <c r="U40" s="83" t="e">
        <f>COUNTIFS('SPC-CPN_Q&amp;A'!#REF!,M$1,'SPC-CPN_Q&amp;A'!#REF!,'Writing assignments'!$C40,'SPC-CPN_Q&amp;A'!$O:$O,"Application")</f>
        <v>#REF!</v>
      </c>
      <c r="V40" s="84" t="e">
        <f>COUNTIFS('SPC-CPN_Q&amp;A'!#REF!,M$1,'SPC-CPN_Q&amp;A'!#REF!,'Writing assignments'!$C40,'SPC-CPN_Q&amp;A'!$O:$O,"Analysis")</f>
        <v>#REF!</v>
      </c>
      <c r="W40" s="83" t="s">
        <v>71</v>
      </c>
      <c r="X40" s="83">
        <v>2</v>
      </c>
      <c r="Y40" s="83">
        <v>0</v>
      </c>
      <c r="Z40" s="83">
        <v>2</v>
      </c>
      <c r="AA40" s="84">
        <v>0</v>
      </c>
      <c r="AC40" s="83" t="e">
        <f t="shared" si="5"/>
        <v>#REF!</v>
      </c>
      <c r="AD40" s="83" t="e">
        <f>COUNTIFS('SPC-CPN_Q&amp;A'!#REF!,W$1,'SPC-CPN_Q&amp;A'!#REF!,'Writing assignments'!$C40,'SPC-CPN_Q&amp;A'!$O:$O,"Recall")</f>
        <v>#REF!</v>
      </c>
      <c r="AE40" s="83" t="e">
        <f>COUNTIFS('SPC-CPN_Q&amp;A'!#REF!,W$1,'SPC-CPN_Q&amp;A'!#REF!,'Writing assignments'!$C40,'SPC-CPN_Q&amp;A'!$O:$O,"Application")</f>
        <v>#REF!</v>
      </c>
      <c r="AF40" s="83" t="e">
        <f>COUNTIFS('SPC-CPN_Q&amp;A'!#REF!,W$1,'SPC-CPN_Q&amp;A'!#REF!,'Writing assignments'!$C40,'SPC-CPN_Q&amp;A'!$O:$O,"Analysis")</f>
        <v>#REF!</v>
      </c>
      <c r="AG40" s="82" t="s">
        <v>71</v>
      </c>
      <c r="AH40" s="83">
        <v>2</v>
      </c>
      <c r="AI40" s="83">
        <v>0</v>
      </c>
      <c r="AJ40" s="83">
        <v>1</v>
      </c>
      <c r="AK40" s="84">
        <v>1</v>
      </c>
      <c r="AM40" s="83" t="e">
        <f t="shared" si="6"/>
        <v>#REF!</v>
      </c>
      <c r="AN40" s="83" t="e">
        <f>COUNTIFS('SPC-CPN_Q&amp;A'!#REF!,AG$1,'SPC-CPN_Q&amp;A'!#REF!,'Writing assignments'!$C40,'SPC-CPN_Q&amp;A'!$O:$O,"Recall")</f>
        <v>#REF!</v>
      </c>
      <c r="AO40" s="83" t="e">
        <f>COUNTIFS('SPC-CPN_Q&amp;A'!#REF!,AG$1,'SPC-CPN_Q&amp;A'!#REF!,'Writing assignments'!$C40,'SPC-CPN_Q&amp;A'!$O:$O,"Application")</f>
        <v>#REF!</v>
      </c>
      <c r="AP40" s="83" t="e">
        <f>COUNTIFS('SPC-CPN_Q&amp;A'!#REF!,AG$1,'SPC-CPN_Q&amp;A'!#REF!,'Writing assignments'!$C40,'SPC-CPN_Q&amp;A'!$O:$O,"Analysis")</f>
        <v>#REF!</v>
      </c>
      <c r="AQ40" s="82"/>
      <c r="AU40" s="84"/>
      <c r="AV40" s="82" t="s">
        <v>71</v>
      </c>
      <c r="AW40" s="83">
        <v>2</v>
      </c>
      <c r="AX40" s="83">
        <v>1</v>
      </c>
      <c r="AY40" s="83">
        <v>0</v>
      </c>
      <c r="AZ40" s="84">
        <v>1</v>
      </c>
      <c r="BB40" s="83" t="e">
        <f t="shared" si="7"/>
        <v>#REF!</v>
      </c>
      <c r="BC40" s="83" t="e">
        <f>COUNTIFS('SPC-CPN_Q&amp;A'!#REF!,AV$1,'SPC-CPN_Q&amp;A'!#REF!,'Writing assignments'!$C40,'SPC-CPN_Q&amp;A'!$O:$O,"Recall")</f>
        <v>#REF!</v>
      </c>
      <c r="BD40" s="83" t="e">
        <f>COUNTIFS('SPC-CPN_Q&amp;A'!#REF!,AV$1,'SPC-CPN_Q&amp;A'!#REF!,'Writing assignments'!$C40,'SPC-CPN_Q&amp;A'!$O:$O,"Application")</f>
        <v>#REF!</v>
      </c>
      <c r="BE40" s="83" t="e">
        <f>COUNTIFS('SPC-CPN_Q&amp;A'!#REF!,AV$1,'SPC-CPN_Q&amp;A'!#REF!,'Writing assignments'!$C40,'SPC-CPN_Q&amp;A'!$O:$O,"Analysis")</f>
        <v>#REF!</v>
      </c>
      <c r="BF40" s="82"/>
      <c r="BJ40" s="84"/>
      <c r="BL40" s="83" t="e">
        <f t="shared" si="8"/>
        <v>#REF!</v>
      </c>
      <c r="BM40" s="83" t="e">
        <f>COUNTIFS('SPC-CPN_Q&amp;A'!#REF!,BF$1,'SPC-CPN_Q&amp;A'!#REF!,'Writing assignments'!$C40,'SPC-CPN_Q&amp;A'!$O:$O,"Recall")</f>
        <v>#REF!</v>
      </c>
      <c r="BN40" s="83" t="e">
        <f>COUNTIFS('SPC-CPN_Q&amp;A'!#REF!,BF$1,'SPC-CPN_Q&amp;A'!#REF!,'Writing assignments'!$C40,'SPC-CPN_Q&amp;A'!$O:$O,"Application")</f>
        <v>#REF!</v>
      </c>
      <c r="BO40" s="83" t="e">
        <f>COUNTIFS('SPC-CPN_Q&amp;A'!#REF!,BF$1,'SPC-CPN_Q&amp;A'!#REF!,'Writing assignments'!$C40,'SPC-CPN_Q&amp;A'!$O:$O,"Analysis")</f>
        <v>#REF!</v>
      </c>
      <c r="BP40" s="82"/>
      <c r="BT40" s="84"/>
      <c r="BV40" s="83" t="e">
        <f t="shared" si="9"/>
        <v>#REF!</v>
      </c>
      <c r="BW40" s="83" t="e">
        <f>COUNTIFS('SPC-CPN_Q&amp;A'!#REF!,BP$1,'SPC-CPN_Q&amp;A'!#REF!,'Writing assignments'!$C40,'SPC-CPN_Q&amp;A'!$O:$O,"Recall")</f>
        <v>#REF!</v>
      </c>
      <c r="BX40" s="83" t="e">
        <f>COUNTIFS('SPC-CPN_Q&amp;A'!#REF!,BP$1,'SPC-CPN_Q&amp;A'!#REF!,'Writing assignments'!$C40,'SPC-CPN_Q&amp;A'!$O:$O,"Application")</f>
        <v>#REF!</v>
      </c>
      <c r="BY40" s="83" t="e">
        <f>COUNTIFS('SPC-CPN_Q&amp;A'!#REF!,BP$1,'SPC-CPN_Q&amp;A'!#REF!,'Writing assignments'!$C40,'SPC-CPN_Q&amp;A'!$O:$O,"Analysis")</f>
        <v>#REF!</v>
      </c>
      <c r="CA40" s="83">
        <v>0</v>
      </c>
    </row>
    <row r="41" spans="2:79" x14ac:dyDescent="0.25">
      <c r="B41" s="74" t="s">
        <v>3602</v>
      </c>
      <c r="C41" s="74" t="s">
        <v>3613</v>
      </c>
      <c r="D41" s="6"/>
      <c r="E41" s="6">
        <v>1</v>
      </c>
      <c r="F41" s="6">
        <v>4</v>
      </c>
      <c r="G41" s="6">
        <v>2</v>
      </c>
      <c r="H41" s="6">
        <f t="shared" si="2"/>
        <v>7</v>
      </c>
      <c r="J41" s="42">
        <f t="shared" si="10"/>
        <v>0</v>
      </c>
      <c r="K41" s="82" t="s">
        <v>71</v>
      </c>
      <c r="L41" s="84">
        <v>1</v>
      </c>
      <c r="M41" s="82" t="s">
        <v>71</v>
      </c>
      <c r="N41" s="83">
        <f t="shared" si="3"/>
        <v>1</v>
      </c>
      <c r="P41" s="83">
        <v>1</v>
      </c>
      <c r="Q41" s="84"/>
      <c r="S41" s="83" t="e">
        <f t="shared" si="4"/>
        <v>#REF!</v>
      </c>
      <c r="T41" s="83" t="e">
        <f>COUNTIFS('SPC-CPN_Q&amp;A'!#REF!,M$1,'SPC-CPN_Q&amp;A'!#REF!,'Writing assignments'!$C41,'SPC-CPN_Q&amp;A'!$O:$O,"Recall")</f>
        <v>#REF!</v>
      </c>
      <c r="U41" s="83" t="e">
        <f>COUNTIFS('SPC-CPN_Q&amp;A'!#REF!,M$1,'SPC-CPN_Q&amp;A'!#REF!,'Writing assignments'!$C41,'SPC-CPN_Q&amp;A'!$O:$O,"Application")</f>
        <v>#REF!</v>
      </c>
      <c r="V41" s="84" t="e">
        <f>COUNTIFS('SPC-CPN_Q&amp;A'!#REF!,M$1,'SPC-CPN_Q&amp;A'!#REF!,'Writing assignments'!$C41,'SPC-CPN_Q&amp;A'!$O:$O,"Analysis")</f>
        <v>#REF!</v>
      </c>
      <c r="AA41" s="84"/>
      <c r="AC41" s="83" t="e">
        <f t="shared" si="5"/>
        <v>#REF!</v>
      </c>
      <c r="AD41" s="83" t="e">
        <f>COUNTIFS('SPC-CPN_Q&amp;A'!#REF!,W$1,'SPC-CPN_Q&amp;A'!#REF!,'Writing assignments'!$C41,'SPC-CPN_Q&amp;A'!$O:$O,"Recall")</f>
        <v>#REF!</v>
      </c>
      <c r="AE41" s="83" t="e">
        <f>COUNTIFS('SPC-CPN_Q&amp;A'!#REF!,W$1,'SPC-CPN_Q&amp;A'!#REF!,'Writing assignments'!$C41,'SPC-CPN_Q&amp;A'!$O:$O,"Application")</f>
        <v>#REF!</v>
      </c>
      <c r="AF41" s="83" t="e">
        <f>COUNTIFS('SPC-CPN_Q&amp;A'!#REF!,W$1,'SPC-CPN_Q&amp;A'!#REF!,'Writing assignments'!$C41,'SPC-CPN_Q&amp;A'!$O:$O,"Analysis")</f>
        <v>#REF!</v>
      </c>
      <c r="AG41" s="82"/>
      <c r="AK41" s="84"/>
      <c r="AM41" s="83" t="e">
        <f t="shared" si="6"/>
        <v>#REF!</v>
      </c>
      <c r="AN41" s="83" t="e">
        <f>COUNTIFS('SPC-CPN_Q&amp;A'!#REF!,AG$1,'SPC-CPN_Q&amp;A'!#REF!,'Writing assignments'!$C41,'SPC-CPN_Q&amp;A'!$O:$O,"Recall")</f>
        <v>#REF!</v>
      </c>
      <c r="AO41" s="83" t="e">
        <f>COUNTIFS('SPC-CPN_Q&amp;A'!#REF!,AG$1,'SPC-CPN_Q&amp;A'!#REF!,'Writing assignments'!$C41,'SPC-CPN_Q&amp;A'!$O:$O,"Application")</f>
        <v>#REF!</v>
      </c>
      <c r="AP41" s="83" t="e">
        <f>COUNTIFS('SPC-CPN_Q&amp;A'!#REF!,AG$1,'SPC-CPN_Q&amp;A'!#REF!,'Writing assignments'!$C41,'SPC-CPN_Q&amp;A'!$O:$O,"Analysis")</f>
        <v>#REF!</v>
      </c>
      <c r="AQ41" s="82"/>
      <c r="AU41" s="84"/>
      <c r="AV41" s="82" t="s">
        <v>71</v>
      </c>
      <c r="AW41" s="83">
        <v>2</v>
      </c>
      <c r="AX41" s="83">
        <v>0</v>
      </c>
      <c r="AY41" s="83">
        <v>1</v>
      </c>
      <c r="AZ41" s="84">
        <v>1</v>
      </c>
      <c r="BB41" s="83" t="e">
        <f t="shared" si="7"/>
        <v>#REF!</v>
      </c>
      <c r="BC41" s="83" t="e">
        <f>COUNTIFS('SPC-CPN_Q&amp;A'!#REF!,AV$1,'SPC-CPN_Q&amp;A'!#REF!,'Writing assignments'!$C41,'SPC-CPN_Q&amp;A'!$O:$O,"Recall")</f>
        <v>#REF!</v>
      </c>
      <c r="BD41" s="83" t="e">
        <f>COUNTIFS('SPC-CPN_Q&amp;A'!#REF!,AV$1,'SPC-CPN_Q&amp;A'!#REF!,'Writing assignments'!$C41,'SPC-CPN_Q&amp;A'!$O:$O,"Application")</f>
        <v>#REF!</v>
      </c>
      <c r="BE41" s="83" t="e">
        <f>COUNTIFS('SPC-CPN_Q&amp;A'!#REF!,AV$1,'SPC-CPN_Q&amp;A'!#REF!,'Writing assignments'!$C41,'SPC-CPN_Q&amp;A'!$O:$O,"Analysis")</f>
        <v>#REF!</v>
      </c>
      <c r="BF41" s="82" t="s">
        <v>71</v>
      </c>
      <c r="BG41" s="83">
        <v>3</v>
      </c>
      <c r="BH41" s="83">
        <v>1</v>
      </c>
      <c r="BI41" s="83">
        <v>1</v>
      </c>
      <c r="BJ41" s="84">
        <v>1</v>
      </c>
      <c r="BL41" s="83" t="e">
        <f t="shared" si="8"/>
        <v>#REF!</v>
      </c>
      <c r="BM41" s="83" t="e">
        <f>COUNTIFS('SPC-CPN_Q&amp;A'!#REF!,BF$1,'SPC-CPN_Q&amp;A'!#REF!,'Writing assignments'!$C41,'SPC-CPN_Q&amp;A'!$O:$O,"Recall")</f>
        <v>#REF!</v>
      </c>
      <c r="BN41" s="83" t="e">
        <f>COUNTIFS('SPC-CPN_Q&amp;A'!#REF!,BF$1,'SPC-CPN_Q&amp;A'!#REF!,'Writing assignments'!$C41,'SPC-CPN_Q&amp;A'!$O:$O,"Application")</f>
        <v>#REF!</v>
      </c>
      <c r="BO41" s="83" t="e">
        <f>COUNTIFS('SPC-CPN_Q&amp;A'!#REF!,BF$1,'SPC-CPN_Q&amp;A'!#REF!,'Writing assignments'!$C41,'SPC-CPN_Q&amp;A'!$O:$O,"Analysis")</f>
        <v>#REF!</v>
      </c>
      <c r="BP41" s="82"/>
      <c r="BT41" s="84"/>
      <c r="BV41" s="83" t="e">
        <f t="shared" si="9"/>
        <v>#REF!</v>
      </c>
      <c r="BW41" s="83" t="e">
        <f>COUNTIFS('SPC-CPN_Q&amp;A'!#REF!,BP$1,'SPC-CPN_Q&amp;A'!#REF!,'Writing assignments'!$C41,'SPC-CPN_Q&amp;A'!$O:$O,"Recall")</f>
        <v>#REF!</v>
      </c>
      <c r="BX41" s="83" t="e">
        <f>COUNTIFS('SPC-CPN_Q&amp;A'!#REF!,BP$1,'SPC-CPN_Q&amp;A'!#REF!,'Writing assignments'!$C41,'SPC-CPN_Q&amp;A'!$O:$O,"Application")</f>
        <v>#REF!</v>
      </c>
      <c r="BY41" s="83" t="e">
        <f>COUNTIFS('SPC-CPN_Q&amp;A'!#REF!,BP$1,'SPC-CPN_Q&amp;A'!#REF!,'Writing assignments'!$C41,'SPC-CPN_Q&amp;A'!$O:$O,"Analysis")</f>
        <v>#REF!</v>
      </c>
      <c r="CA41" s="83">
        <v>0</v>
      </c>
    </row>
    <row r="42" spans="2:79" x14ac:dyDescent="0.25">
      <c r="B42" s="74" t="s">
        <v>3614</v>
      </c>
      <c r="C42" s="74" t="s">
        <v>3615</v>
      </c>
      <c r="D42" s="6"/>
      <c r="E42" s="6">
        <v>1</v>
      </c>
      <c r="F42" s="6">
        <v>1</v>
      </c>
      <c r="G42" s="6">
        <v>0</v>
      </c>
      <c r="H42" s="6">
        <f t="shared" si="2"/>
        <v>2</v>
      </c>
      <c r="J42" s="42">
        <f t="shared" si="10"/>
        <v>0</v>
      </c>
      <c r="K42" s="82"/>
      <c r="L42" s="84">
        <v>0</v>
      </c>
      <c r="M42" s="82"/>
      <c r="N42" s="83">
        <f t="shared" si="3"/>
        <v>0</v>
      </c>
      <c r="S42" s="83" t="e">
        <f t="shared" si="4"/>
        <v>#REF!</v>
      </c>
      <c r="T42" s="83" t="e">
        <f>COUNTIFS('SPC-CPN_Q&amp;A'!#REF!,M$1,'SPC-CPN_Q&amp;A'!#REF!,'Writing assignments'!$C42,'SPC-CPN_Q&amp;A'!$O:$O,"Recall")</f>
        <v>#REF!</v>
      </c>
      <c r="U42" s="83" t="e">
        <f>COUNTIFS('SPC-CPN_Q&amp;A'!#REF!,M$1,'SPC-CPN_Q&amp;A'!#REF!,'Writing assignments'!$C42,'SPC-CPN_Q&amp;A'!$O:$O,"Application")</f>
        <v>#REF!</v>
      </c>
      <c r="V42" s="84" t="e">
        <f>COUNTIFS('SPC-CPN_Q&amp;A'!#REF!,M$1,'SPC-CPN_Q&amp;A'!#REF!,'Writing assignments'!$C42,'SPC-CPN_Q&amp;A'!$O:$O,"Analysis")</f>
        <v>#REF!</v>
      </c>
      <c r="AA42" s="84"/>
      <c r="AC42" s="83" t="e">
        <f t="shared" si="5"/>
        <v>#REF!</v>
      </c>
      <c r="AD42" s="83" t="e">
        <f>COUNTIFS('SPC-CPN_Q&amp;A'!#REF!,W$1,'SPC-CPN_Q&amp;A'!#REF!,'Writing assignments'!$C42,'SPC-CPN_Q&amp;A'!$O:$O,"Recall")</f>
        <v>#REF!</v>
      </c>
      <c r="AE42" s="83" t="e">
        <f>COUNTIFS('SPC-CPN_Q&amp;A'!#REF!,W$1,'SPC-CPN_Q&amp;A'!#REF!,'Writing assignments'!$C42,'SPC-CPN_Q&amp;A'!$O:$O,"Application")</f>
        <v>#REF!</v>
      </c>
      <c r="AF42" s="83" t="e">
        <f>COUNTIFS('SPC-CPN_Q&amp;A'!#REF!,W$1,'SPC-CPN_Q&amp;A'!#REF!,'Writing assignments'!$C42,'SPC-CPN_Q&amp;A'!$O:$O,"Analysis")</f>
        <v>#REF!</v>
      </c>
      <c r="AG42" s="82"/>
      <c r="AK42" s="84"/>
      <c r="AM42" s="83" t="e">
        <f t="shared" si="6"/>
        <v>#REF!</v>
      </c>
      <c r="AN42" s="83" t="e">
        <f>COUNTIFS('SPC-CPN_Q&amp;A'!#REF!,AG$1,'SPC-CPN_Q&amp;A'!#REF!,'Writing assignments'!$C42,'SPC-CPN_Q&amp;A'!$O:$O,"Recall")</f>
        <v>#REF!</v>
      </c>
      <c r="AO42" s="83" t="e">
        <f>COUNTIFS('SPC-CPN_Q&amp;A'!#REF!,AG$1,'SPC-CPN_Q&amp;A'!#REF!,'Writing assignments'!$C42,'SPC-CPN_Q&amp;A'!$O:$O,"Application")</f>
        <v>#REF!</v>
      </c>
      <c r="AP42" s="83" t="e">
        <f>COUNTIFS('SPC-CPN_Q&amp;A'!#REF!,AG$1,'SPC-CPN_Q&amp;A'!#REF!,'Writing assignments'!$C42,'SPC-CPN_Q&amp;A'!$O:$O,"Analysis")</f>
        <v>#REF!</v>
      </c>
      <c r="AQ42" s="82"/>
      <c r="AR42" s="83">
        <v>0</v>
      </c>
      <c r="AU42" s="84"/>
      <c r="BB42" s="83" t="e">
        <f t="shared" si="7"/>
        <v>#REF!</v>
      </c>
      <c r="BC42" s="83" t="e">
        <f>COUNTIFS('SPC-CPN_Q&amp;A'!#REF!,AV$1,'SPC-CPN_Q&amp;A'!#REF!,'Writing assignments'!$C42,'SPC-CPN_Q&amp;A'!$O:$O,"Recall")</f>
        <v>#REF!</v>
      </c>
      <c r="BD42" s="83" t="e">
        <f>COUNTIFS('SPC-CPN_Q&amp;A'!#REF!,AV$1,'SPC-CPN_Q&amp;A'!#REF!,'Writing assignments'!$C42,'SPC-CPN_Q&amp;A'!$O:$O,"Application")</f>
        <v>#REF!</v>
      </c>
      <c r="BE42" s="83" t="e">
        <f>COUNTIFS('SPC-CPN_Q&amp;A'!#REF!,AV$1,'SPC-CPN_Q&amp;A'!#REF!,'Writing assignments'!$C42,'SPC-CPN_Q&amp;A'!$O:$O,"Analysis")</f>
        <v>#REF!</v>
      </c>
      <c r="BF42" s="82"/>
      <c r="BJ42" s="84"/>
      <c r="BL42" s="83" t="e">
        <f t="shared" si="8"/>
        <v>#REF!</v>
      </c>
      <c r="BM42" s="83" t="e">
        <f>COUNTIFS('SPC-CPN_Q&amp;A'!#REF!,BF$1,'SPC-CPN_Q&amp;A'!#REF!,'Writing assignments'!$C42,'SPC-CPN_Q&amp;A'!$O:$O,"Recall")</f>
        <v>#REF!</v>
      </c>
      <c r="BN42" s="83" t="e">
        <f>COUNTIFS('SPC-CPN_Q&amp;A'!#REF!,BF$1,'SPC-CPN_Q&amp;A'!#REF!,'Writing assignments'!$C42,'SPC-CPN_Q&amp;A'!$O:$O,"Application")</f>
        <v>#REF!</v>
      </c>
      <c r="BO42" s="83" t="e">
        <f>COUNTIFS('SPC-CPN_Q&amp;A'!#REF!,BF$1,'SPC-CPN_Q&amp;A'!#REF!,'Writing assignments'!$C42,'SPC-CPN_Q&amp;A'!$O:$O,"Analysis")</f>
        <v>#REF!</v>
      </c>
      <c r="BP42" s="82" t="s">
        <v>71</v>
      </c>
      <c r="BQ42" s="83">
        <v>2</v>
      </c>
      <c r="BR42" s="83">
        <v>1</v>
      </c>
      <c r="BS42" s="83">
        <v>1</v>
      </c>
      <c r="BT42" s="84">
        <v>0</v>
      </c>
      <c r="BV42" s="83" t="e">
        <f t="shared" si="9"/>
        <v>#REF!</v>
      </c>
      <c r="BW42" s="83" t="e">
        <f>COUNTIFS('SPC-CPN_Q&amp;A'!#REF!,BP$1,'SPC-CPN_Q&amp;A'!#REF!,'Writing assignments'!$C42,'SPC-CPN_Q&amp;A'!$O:$O,"Recall")</f>
        <v>#REF!</v>
      </c>
      <c r="BX42" s="83" t="e">
        <f>COUNTIFS('SPC-CPN_Q&amp;A'!#REF!,BP$1,'SPC-CPN_Q&amp;A'!#REF!,'Writing assignments'!$C42,'SPC-CPN_Q&amp;A'!$O:$O,"Application")</f>
        <v>#REF!</v>
      </c>
      <c r="BY42" s="83" t="e">
        <f>COUNTIFS('SPC-CPN_Q&amp;A'!#REF!,BP$1,'SPC-CPN_Q&amp;A'!#REF!,'Writing assignments'!$C42,'SPC-CPN_Q&amp;A'!$O:$O,"Analysis")</f>
        <v>#REF!</v>
      </c>
      <c r="CA42" s="83">
        <v>0</v>
      </c>
    </row>
    <row r="43" spans="2:79" x14ac:dyDescent="0.25">
      <c r="B43" s="74" t="s">
        <v>3614</v>
      </c>
      <c r="C43" s="74" t="s">
        <v>3616</v>
      </c>
      <c r="D43" s="6"/>
      <c r="E43" s="6">
        <v>0</v>
      </c>
      <c r="F43" s="6">
        <v>2</v>
      </c>
      <c r="G43" s="6">
        <v>1</v>
      </c>
      <c r="H43" s="6">
        <f t="shared" si="2"/>
        <v>3</v>
      </c>
      <c r="J43" s="42">
        <f t="shared" si="10"/>
        <v>0</v>
      </c>
      <c r="K43" s="82"/>
      <c r="L43" s="84">
        <v>0</v>
      </c>
      <c r="M43" s="82"/>
      <c r="N43" s="83">
        <f t="shared" si="3"/>
        <v>0</v>
      </c>
      <c r="S43" s="83" t="e">
        <f t="shared" si="4"/>
        <v>#REF!</v>
      </c>
      <c r="T43" s="83" t="e">
        <f>COUNTIFS('SPC-CPN_Q&amp;A'!#REF!,M$1,'SPC-CPN_Q&amp;A'!#REF!,'Writing assignments'!$C43,'SPC-CPN_Q&amp;A'!$O:$O,"Recall")</f>
        <v>#REF!</v>
      </c>
      <c r="U43" s="83" t="e">
        <f>COUNTIFS('SPC-CPN_Q&amp;A'!#REF!,M$1,'SPC-CPN_Q&amp;A'!#REF!,'Writing assignments'!$C43,'SPC-CPN_Q&amp;A'!$O:$O,"Application")</f>
        <v>#REF!</v>
      </c>
      <c r="V43" s="84" t="e">
        <f>COUNTIFS('SPC-CPN_Q&amp;A'!#REF!,M$1,'SPC-CPN_Q&amp;A'!#REF!,'Writing assignments'!$C43,'SPC-CPN_Q&amp;A'!$O:$O,"Analysis")</f>
        <v>#REF!</v>
      </c>
      <c r="AA43" s="84"/>
      <c r="AC43" s="83" t="e">
        <f t="shared" si="5"/>
        <v>#REF!</v>
      </c>
      <c r="AD43" s="83" t="e">
        <f>COUNTIFS('SPC-CPN_Q&amp;A'!#REF!,W$1,'SPC-CPN_Q&amp;A'!#REF!,'Writing assignments'!$C43,'SPC-CPN_Q&amp;A'!$O:$O,"Recall")</f>
        <v>#REF!</v>
      </c>
      <c r="AE43" s="83" t="e">
        <f>COUNTIFS('SPC-CPN_Q&amp;A'!#REF!,W$1,'SPC-CPN_Q&amp;A'!#REF!,'Writing assignments'!$C43,'SPC-CPN_Q&amp;A'!$O:$O,"Application")</f>
        <v>#REF!</v>
      </c>
      <c r="AF43" s="83" t="e">
        <f>COUNTIFS('SPC-CPN_Q&amp;A'!#REF!,W$1,'SPC-CPN_Q&amp;A'!#REF!,'Writing assignments'!$C43,'SPC-CPN_Q&amp;A'!$O:$O,"Analysis")</f>
        <v>#REF!</v>
      </c>
      <c r="AG43" s="82"/>
      <c r="AK43" s="84"/>
      <c r="AM43" s="83" t="e">
        <f t="shared" si="6"/>
        <v>#REF!</v>
      </c>
      <c r="AN43" s="83" t="e">
        <f>COUNTIFS('SPC-CPN_Q&amp;A'!#REF!,AG$1,'SPC-CPN_Q&amp;A'!#REF!,'Writing assignments'!$C43,'SPC-CPN_Q&amp;A'!$O:$O,"Recall")</f>
        <v>#REF!</v>
      </c>
      <c r="AO43" s="83" t="e">
        <f>COUNTIFS('SPC-CPN_Q&amp;A'!#REF!,AG$1,'SPC-CPN_Q&amp;A'!#REF!,'Writing assignments'!$C43,'SPC-CPN_Q&amp;A'!$O:$O,"Application")</f>
        <v>#REF!</v>
      </c>
      <c r="AP43" s="83" t="e">
        <f>COUNTIFS('SPC-CPN_Q&amp;A'!#REF!,AG$1,'SPC-CPN_Q&amp;A'!#REF!,'Writing assignments'!$C43,'SPC-CPN_Q&amp;A'!$O:$O,"Analysis")</f>
        <v>#REF!</v>
      </c>
      <c r="AQ43" s="82"/>
      <c r="AR43" s="83">
        <v>0</v>
      </c>
      <c r="AU43" s="84"/>
      <c r="BB43" s="83" t="e">
        <f t="shared" si="7"/>
        <v>#REF!</v>
      </c>
      <c r="BC43" s="83" t="e">
        <f>COUNTIFS('SPC-CPN_Q&amp;A'!#REF!,AV$1,'SPC-CPN_Q&amp;A'!#REF!,'Writing assignments'!$C43,'SPC-CPN_Q&amp;A'!$O:$O,"Recall")</f>
        <v>#REF!</v>
      </c>
      <c r="BD43" s="83" t="e">
        <f>COUNTIFS('SPC-CPN_Q&amp;A'!#REF!,AV$1,'SPC-CPN_Q&amp;A'!#REF!,'Writing assignments'!$C43,'SPC-CPN_Q&amp;A'!$O:$O,"Application")</f>
        <v>#REF!</v>
      </c>
      <c r="BE43" s="83" t="e">
        <f>COUNTIFS('SPC-CPN_Q&amp;A'!#REF!,AV$1,'SPC-CPN_Q&amp;A'!#REF!,'Writing assignments'!$C43,'SPC-CPN_Q&amp;A'!$O:$O,"Analysis")</f>
        <v>#REF!</v>
      </c>
      <c r="BF43" s="82"/>
      <c r="BJ43" s="84"/>
      <c r="BL43" s="83" t="e">
        <f t="shared" si="8"/>
        <v>#REF!</v>
      </c>
      <c r="BM43" s="83" t="e">
        <f>COUNTIFS('SPC-CPN_Q&amp;A'!#REF!,BF$1,'SPC-CPN_Q&amp;A'!#REF!,'Writing assignments'!$C43,'SPC-CPN_Q&amp;A'!$O:$O,"Recall")</f>
        <v>#REF!</v>
      </c>
      <c r="BN43" s="83" t="e">
        <f>COUNTIFS('SPC-CPN_Q&amp;A'!#REF!,BF$1,'SPC-CPN_Q&amp;A'!#REF!,'Writing assignments'!$C43,'SPC-CPN_Q&amp;A'!$O:$O,"Application")</f>
        <v>#REF!</v>
      </c>
      <c r="BO43" s="83" t="e">
        <f>COUNTIFS('SPC-CPN_Q&amp;A'!#REF!,BF$1,'SPC-CPN_Q&amp;A'!#REF!,'Writing assignments'!$C43,'SPC-CPN_Q&amp;A'!$O:$O,"Analysis")</f>
        <v>#REF!</v>
      </c>
      <c r="BP43" s="82" t="s">
        <v>71</v>
      </c>
      <c r="BQ43" s="83">
        <v>3</v>
      </c>
      <c r="BR43" s="83">
        <v>0</v>
      </c>
      <c r="BS43" s="83">
        <v>2</v>
      </c>
      <c r="BT43" s="84">
        <v>1</v>
      </c>
      <c r="BV43" s="83" t="e">
        <f t="shared" si="9"/>
        <v>#REF!</v>
      </c>
      <c r="BW43" s="83" t="e">
        <f>COUNTIFS('SPC-CPN_Q&amp;A'!#REF!,BP$1,'SPC-CPN_Q&amp;A'!#REF!,'Writing assignments'!$C43,'SPC-CPN_Q&amp;A'!$O:$O,"Recall")</f>
        <v>#REF!</v>
      </c>
      <c r="BX43" s="83" t="e">
        <f>COUNTIFS('SPC-CPN_Q&amp;A'!#REF!,BP$1,'SPC-CPN_Q&amp;A'!#REF!,'Writing assignments'!$C43,'SPC-CPN_Q&amp;A'!$O:$O,"Application")</f>
        <v>#REF!</v>
      </c>
      <c r="BY43" s="83" t="e">
        <f>COUNTIFS('SPC-CPN_Q&amp;A'!#REF!,BP$1,'SPC-CPN_Q&amp;A'!#REF!,'Writing assignments'!$C43,'SPC-CPN_Q&amp;A'!$O:$O,"Analysis")</f>
        <v>#REF!</v>
      </c>
      <c r="CA43" s="83">
        <v>0</v>
      </c>
    </row>
    <row r="44" spans="2:79" x14ac:dyDescent="0.25">
      <c r="B44" s="74" t="s">
        <v>3614</v>
      </c>
      <c r="C44" s="74" t="s">
        <v>3617</v>
      </c>
      <c r="D44" s="6"/>
      <c r="E44" s="6">
        <v>0</v>
      </c>
      <c r="F44" s="6">
        <v>1</v>
      </c>
      <c r="G44" s="6">
        <v>1</v>
      </c>
      <c r="H44" s="6">
        <f t="shared" si="2"/>
        <v>2</v>
      </c>
      <c r="J44" s="42">
        <f t="shared" si="10"/>
        <v>0</v>
      </c>
      <c r="K44" s="82"/>
      <c r="L44" s="84">
        <v>0</v>
      </c>
      <c r="M44" s="82"/>
      <c r="N44" s="83">
        <f t="shared" si="3"/>
        <v>0</v>
      </c>
      <c r="S44" s="83" t="e">
        <f t="shared" si="4"/>
        <v>#REF!</v>
      </c>
      <c r="T44" s="83" t="e">
        <f>COUNTIFS('SPC-CPN_Q&amp;A'!#REF!,M$1,'SPC-CPN_Q&amp;A'!#REF!,'Writing assignments'!$C44,'SPC-CPN_Q&amp;A'!$O:$O,"Recall")</f>
        <v>#REF!</v>
      </c>
      <c r="U44" s="83" t="e">
        <f>COUNTIFS('SPC-CPN_Q&amp;A'!#REF!,M$1,'SPC-CPN_Q&amp;A'!#REF!,'Writing assignments'!$C44,'SPC-CPN_Q&amp;A'!$O:$O,"Application")</f>
        <v>#REF!</v>
      </c>
      <c r="V44" s="84" t="e">
        <f>COUNTIFS('SPC-CPN_Q&amp;A'!#REF!,M$1,'SPC-CPN_Q&amp;A'!#REF!,'Writing assignments'!$C44,'SPC-CPN_Q&amp;A'!$O:$O,"Analysis")</f>
        <v>#REF!</v>
      </c>
      <c r="AA44" s="84"/>
      <c r="AC44" s="83" t="e">
        <f t="shared" si="5"/>
        <v>#REF!</v>
      </c>
      <c r="AD44" s="83" t="e">
        <f>COUNTIFS('SPC-CPN_Q&amp;A'!#REF!,W$1,'SPC-CPN_Q&amp;A'!#REF!,'Writing assignments'!$C44,'SPC-CPN_Q&amp;A'!$O:$O,"Recall")</f>
        <v>#REF!</v>
      </c>
      <c r="AE44" s="83" t="e">
        <f>COUNTIFS('SPC-CPN_Q&amp;A'!#REF!,W$1,'SPC-CPN_Q&amp;A'!#REF!,'Writing assignments'!$C44,'SPC-CPN_Q&amp;A'!$O:$O,"Application")</f>
        <v>#REF!</v>
      </c>
      <c r="AF44" s="83" t="e">
        <f>COUNTIFS('SPC-CPN_Q&amp;A'!#REF!,W$1,'SPC-CPN_Q&amp;A'!#REF!,'Writing assignments'!$C44,'SPC-CPN_Q&amp;A'!$O:$O,"Analysis")</f>
        <v>#REF!</v>
      </c>
      <c r="AG44" s="82"/>
      <c r="AK44" s="84"/>
      <c r="AM44" s="83" t="e">
        <f t="shared" si="6"/>
        <v>#REF!</v>
      </c>
      <c r="AN44" s="83" t="e">
        <f>COUNTIFS('SPC-CPN_Q&amp;A'!#REF!,AG$1,'SPC-CPN_Q&amp;A'!#REF!,'Writing assignments'!$C44,'SPC-CPN_Q&amp;A'!$O:$O,"Recall")</f>
        <v>#REF!</v>
      </c>
      <c r="AO44" s="83" t="e">
        <f>COUNTIFS('SPC-CPN_Q&amp;A'!#REF!,AG$1,'SPC-CPN_Q&amp;A'!#REF!,'Writing assignments'!$C44,'SPC-CPN_Q&amp;A'!$O:$O,"Application")</f>
        <v>#REF!</v>
      </c>
      <c r="AP44" s="83" t="e">
        <f>COUNTIFS('SPC-CPN_Q&amp;A'!#REF!,AG$1,'SPC-CPN_Q&amp;A'!#REF!,'Writing assignments'!$C44,'SPC-CPN_Q&amp;A'!$O:$O,"Analysis")</f>
        <v>#REF!</v>
      </c>
      <c r="AQ44" s="82"/>
      <c r="AR44" s="83">
        <v>0</v>
      </c>
      <c r="AU44" s="84"/>
      <c r="BB44" s="83" t="e">
        <f t="shared" si="7"/>
        <v>#REF!</v>
      </c>
      <c r="BC44" s="83" t="e">
        <f>COUNTIFS('SPC-CPN_Q&amp;A'!#REF!,AV$1,'SPC-CPN_Q&amp;A'!#REF!,'Writing assignments'!$C44,'SPC-CPN_Q&amp;A'!$O:$O,"Recall")</f>
        <v>#REF!</v>
      </c>
      <c r="BD44" s="83" t="e">
        <f>COUNTIFS('SPC-CPN_Q&amp;A'!#REF!,AV$1,'SPC-CPN_Q&amp;A'!#REF!,'Writing assignments'!$C44,'SPC-CPN_Q&amp;A'!$O:$O,"Application")</f>
        <v>#REF!</v>
      </c>
      <c r="BE44" s="83" t="e">
        <f>COUNTIFS('SPC-CPN_Q&amp;A'!#REF!,AV$1,'SPC-CPN_Q&amp;A'!#REF!,'Writing assignments'!$C44,'SPC-CPN_Q&amp;A'!$O:$O,"Analysis")</f>
        <v>#REF!</v>
      </c>
      <c r="BF44" s="82"/>
      <c r="BJ44" s="84"/>
      <c r="BL44" s="83" t="e">
        <f t="shared" si="8"/>
        <v>#REF!</v>
      </c>
      <c r="BM44" s="83" t="e">
        <f>COUNTIFS('SPC-CPN_Q&amp;A'!#REF!,BF$1,'SPC-CPN_Q&amp;A'!#REF!,'Writing assignments'!$C44,'SPC-CPN_Q&amp;A'!$O:$O,"Recall")</f>
        <v>#REF!</v>
      </c>
      <c r="BN44" s="83" t="e">
        <f>COUNTIFS('SPC-CPN_Q&amp;A'!#REF!,BF$1,'SPC-CPN_Q&amp;A'!#REF!,'Writing assignments'!$C44,'SPC-CPN_Q&amp;A'!$O:$O,"Application")</f>
        <v>#REF!</v>
      </c>
      <c r="BO44" s="83" t="e">
        <f>COUNTIFS('SPC-CPN_Q&amp;A'!#REF!,BF$1,'SPC-CPN_Q&amp;A'!#REF!,'Writing assignments'!$C44,'SPC-CPN_Q&amp;A'!$O:$O,"Analysis")</f>
        <v>#REF!</v>
      </c>
      <c r="BP44" s="82" t="s">
        <v>71</v>
      </c>
      <c r="BQ44" s="83">
        <v>2</v>
      </c>
      <c r="BR44" s="83">
        <v>0</v>
      </c>
      <c r="BS44" s="83">
        <v>1</v>
      </c>
      <c r="BT44" s="84">
        <v>1</v>
      </c>
      <c r="BV44" s="83" t="e">
        <f t="shared" si="9"/>
        <v>#REF!</v>
      </c>
      <c r="BW44" s="83" t="e">
        <f>COUNTIFS('SPC-CPN_Q&amp;A'!#REF!,BP$1,'SPC-CPN_Q&amp;A'!#REF!,'Writing assignments'!$C44,'SPC-CPN_Q&amp;A'!$O:$O,"Recall")</f>
        <v>#REF!</v>
      </c>
      <c r="BX44" s="83" t="e">
        <f>COUNTIFS('SPC-CPN_Q&amp;A'!#REF!,BP$1,'SPC-CPN_Q&amp;A'!#REF!,'Writing assignments'!$C44,'SPC-CPN_Q&amp;A'!$O:$O,"Application")</f>
        <v>#REF!</v>
      </c>
      <c r="BY44" s="83" t="e">
        <f>COUNTIFS('SPC-CPN_Q&amp;A'!#REF!,BP$1,'SPC-CPN_Q&amp;A'!#REF!,'Writing assignments'!$C44,'SPC-CPN_Q&amp;A'!$O:$O,"Analysis")</f>
        <v>#REF!</v>
      </c>
      <c r="CA44" s="83">
        <v>0</v>
      </c>
    </row>
    <row r="45" spans="2:79" x14ac:dyDescent="0.25">
      <c r="B45" s="74" t="s">
        <v>3614</v>
      </c>
      <c r="C45" s="74" t="s">
        <v>3618</v>
      </c>
      <c r="D45" s="6"/>
      <c r="E45" s="6">
        <v>1</v>
      </c>
      <c r="F45" s="6">
        <v>1</v>
      </c>
      <c r="G45" s="6">
        <v>0</v>
      </c>
      <c r="H45" s="6">
        <f t="shared" si="2"/>
        <v>2</v>
      </c>
      <c r="J45" s="42">
        <f t="shared" si="10"/>
        <v>0</v>
      </c>
      <c r="K45" s="82"/>
      <c r="L45" s="84">
        <v>0</v>
      </c>
      <c r="M45" s="82"/>
      <c r="N45" s="83">
        <f t="shared" si="3"/>
        <v>0</v>
      </c>
      <c r="S45" s="83" t="e">
        <f t="shared" si="4"/>
        <v>#REF!</v>
      </c>
      <c r="T45" s="83" t="e">
        <f>COUNTIFS('SPC-CPN_Q&amp;A'!#REF!,M$1,'SPC-CPN_Q&amp;A'!#REF!,'Writing assignments'!$C45,'SPC-CPN_Q&amp;A'!$O:$O,"Recall")</f>
        <v>#REF!</v>
      </c>
      <c r="U45" s="83" t="e">
        <f>COUNTIFS('SPC-CPN_Q&amp;A'!#REF!,M$1,'SPC-CPN_Q&amp;A'!#REF!,'Writing assignments'!$C45,'SPC-CPN_Q&amp;A'!$O:$O,"Application")</f>
        <v>#REF!</v>
      </c>
      <c r="V45" s="84" t="e">
        <f>COUNTIFS('SPC-CPN_Q&amp;A'!#REF!,M$1,'SPC-CPN_Q&amp;A'!#REF!,'Writing assignments'!$C45,'SPC-CPN_Q&amp;A'!$O:$O,"Analysis")</f>
        <v>#REF!</v>
      </c>
      <c r="AA45" s="84"/>
      <c r="AC45" s="83" t="e">
        <f t="shared" si="5"/>
        <v>#REF!</v>
      </c>
      <c r="AD45" s="83" t="e">
        <f>COUNTIFS('SPC-CPN_Q&amp;A'!#REF!,W$1,'SPC-CPN_Q&amp;A'!#REF!,'Writing assignments'!$C45,'SPC-CPN_Q&amp;A'!$O:$O,"Recall")</f>
        <v>#REF!</v>
      </c>
      <c r="AE45" s="83" t="e">
        <f>COUNTIFS('SPC-CPN_Q&amp;A'!#REF!,W$1,'SPC-CPN_Q&amp;A'!#REF!,'Writing assignments'!$C45,'SPC-CPN_Q&amp;A'!$O:$O,"Application")</f>
        <v>#REF!</v>
      </c>
      <c r="AF45" s="83" t="e">
        <f>COUNTIFS('SPC-CPN_Q&amp;A'!#REF!,W$1,'SPC-CPN_Q&amp;A'!#REF!,'Writing assignments'!$C45,'SPC-CPN_Q&amp;A'!$O:$O,"Analysis")</f>
        <v>#REF!</v>
      </c>
      <c r="AG45" s="82"/>
      <c r="AK45" s="84"/>
      <c r="AM45" s="83" t="e">
        <f t="shared" si="6"/>
        <v>#REF!</v>
      </c>
      <c r="AN45" s="83" t="e">
        <f>COUNTIFS('SPC-CPN_Q&amp;A'!#REF!,AG$1,'SPC-CPN_Q&amp;A'!#REF!,'Writing assignments'!$C45,'SPC-CPN_Q&amp;A'!$O:$O,"Recall")</f>
        <v>#REF!</v>
      </c>
      <c r="AO45" s="83" t="e">
        <f>COUNTIFS('SPC-CPN_Q&amp;A'!#REF!,AG$1,'SPC-CPN_Q&amp;A'!#REF!,'Writing assignments'!$C45,'SPC-CPN_Q&amp;A'!$O:$O,"Application")</f>
        <v>#REF!</v>
      </c>
      <c r="AP45" s="83" t="e">
        <f>COUNTIFS('SPC-CPN_Q&amp;A'!#REF!,AG$1,'SPC-CPN_Q&amp;A'!#REF!,'Writing assignments'!$C45,'SPC-CPN_Q&amp;A'!$O:$O,"Analysis")</f>
        <v>#REF!</v>
      </c>
      <c r="AQ45" s="82"/>
      <c r="AR45" s="83">
        <v>0</v>
      </c>
      <c r="AU45" s="84"/>
      <c r="BB45" s="83" t="e">
        <f t="shared" si="7"/>
        <v>#REF!</v>
      </c>
      <c r="BC45" s="83" t="e">
        <f>COUNTIFS('SPC-CPN_Q&amp;A'!#REF!,AV$1,'SPC-CPN_Q&amp;A'!#REF!,'Writing assignments'!$C45,'SPC-CPN_Q&amp;A'!$O:$O,"Recall")</f>
        <v>#REF!</v>
      </c>
      <c r="BD45" s="83" t="e">
        <f>COUNTIFS('SPC-CPN_Q&amp;A'!#REF!,AV$1,'SPC-CPN_Q&amp;A'!#REF!,'Writing assignments'!$C45,'SPC-CPN_Q&amp;A'!$O:$O,"Application")</f>
        <v>#REF!</v>
      </c>
      <c r="BE45" s="83" t="e">
        <f>COUNTIFS('SPC-CPN_Q&amp;A'!#REF!,AV$1,'SPC-CPN_Q&amp;A'!#REF!,'Writing assignments'!$C45,'SPC-CPN_Q&amp;A'!$O:$O,"Analysis")</f>
        <v>#REF!</v>
      </c>
      <c r="BF45" s="82" t="s">
        <v>71</v>
      </c>
      <c r="BG45" s="83">
        <v>2</v>
      </c>
      <c r="BH45" s="83">
        <v>1</v>
      </c>
      <c r="BI45" s="83">
        <v>1</v>
      </c>
      <c r="BJ45" s="84">
        <v>0</v>
      </c>
      <c r="BL45" s="83" t="e">
        <f t="shared" si="8"/>
        <v>#REF!</v>
      </c>
      <c r="BM45" s="83" t="e">
        <f>COUNTIFS('SPC-CPN_Q&amp;A'!#REF!,BF$1,'SPC-CPN_Q&amp;A'!#REF!,'Writing assignments'!$C45,'SPC-CPN_Q&amp;A'!$O:$O,"Recall")</f>
        <v>#REF!</v>
      </c>
      <c r="BN45" s="83" t="e">
        <f>COUNTIFS('SPC-CPN_Q&amp;A'!#REF!,BF$1,'SPC-CPN_Q&amp;A'!#REF!,'Writing assignments'!$C45,'SPC-CPN_Q&amp;A'!$O:$O,"Application")</f>
        <v>#REF!</v>
      </c>
      <c r="BO45" s="83" t="e">
        <f>COUNTIFS('SPC-CPN_Q&amp;A'!#REF!,BF$1,'SPC-CPN_Q&amp;A'!#REF!,'Writing assignments'!$C45,'SPC-CPN_Q&amp;A'!$O:$O,"Analysis")</f>
        <v>#REF!</v>
      </c>
      <c r="BP45" s="82"/>
      <c r="BT45" s="84"/>
      <c r="BV45" s="83" t="e">
        <f t="shared" si="9"/>
        <v>#REF!</v>
      </c>
      <c r="BW45" s="83" t="e">
        <f>COUNTIFS('SPC-CPN_Q&amp;A'!#REF!,BP$1,'SPC-CPN_Q&amp;A'!#REF!,'Writing assignments'!$C45,'SPC-CPN_Q&amp;A'!$O:$O,"Recall")</f>
        <v>#REF!</v>
      </c>
      <c r="BX45" s="83" t="e">
        <f>COUNTIFS('SPC-CPN_Q&amp;A'!#REF!,BP$1,'SPC-CPN_Q&amp;A'!#REF!,'Writing assignments'!$C45,'SPC-CPN_Q&amp;A'!$O:$O,"Application")</f>
        <v>#REF!</v>
      </c>
      <c r="BY45" s="83" t="e">
        <f>COUNTIFS('SPC-CPN_Q&amp;A'!#REF!,BP$1,'SPC-CPN_Q&amp;A'!#REF!,'Writing assignments'!$C45,'SPC-CPN_Q&amp;A'!$O:$O,"Analysis")</f>
        <v>#REF!</v>
      </c>
      <c r="CA45" s="83">
        <v>0</v>
      </c>
    </row>
    <row r="46" spans="2:79" x14ac:dyDescent="0.25">
      <c r="B46" s="74" t="s">
        <v>3614</v>
      </c>
      <c r="C46" s="74" t="s">
        <v>3619</v>
      </c>
      <c r="D46" s="6"/>
      <c r="E46" s="6">
        <v>0</v>
      </c>
      <c r="F46" s="6">
        <v>2</v>
      </c>
      <c r="G46" s="6">
        <v>0</v>
      </c>
      <c r="H46" s="6">
        <f t="shared" si="2"/>
        <v>2</v>
      </c>
      <c r="J46" s="42">
        <f t="shared" si="10"/>
        <v>0</v>
      </c>
      <c r="K46" s="82"/>
      <c r="L46" s="84">
        <v>0</v>
      </c>
      <c r="M46" s="82"/>
      <c r="N46" s="83">
        <f t="shared" si="3"/>
        <v>0</v>
      </c>
      <c r="S46" s="83" t="e">
        <f t="shared" si="4"/>
        <v>#REF!</v>
      </c>
      <c r="T46" s="83" t="e">
        <f>COUNTIFS('SPC-CPN_Q&amp;A'!#REF!,M$1,'SPC-CPN_Q&amp;A'!#REF!,'Writing assignments'!$C46,'SPC-CPN_Q&amp;A'!$O:$O,"Recall")</f>
        <v>#REF!</v>
      </c>
      <c r="U46" s="83" t="e">
        <f>COUNTIFS('SPC-CPN_Q&amp;A'!#REF!,M$1,'SPC-CPN_Q&amp;A'!#REF!,'Writing assignments'!$C46,'SPC-CPN_Q&amp;A'!$O:$O,"Application")</f>
        <v>#REF!</v>
      </c>
      <c r="V46" s="84" t="e">
        <f>COUNTIFS('SPC-CPN_Q&amp;A'!#REF!,M$1,'SPC-CPN_Q&amp;A'!#REF!,'Writing assignments'!$C46,'SPC-CPN_Q&amp;A'!$O:$O,"Analysis")</f>
        <v>#REF!</v>
      </c>
      <c r="AA46" s="84"/>
      <c r="AC46" s="83" t="e">
        <f t="shared" si="5"/>
        <v>#REF!</v>
      </c>
      <c r="AD46" s="83" t="e">
        <f>COUNTIFS('SPC-CPN_Q&amp;A'!#REF!,W$1,'SPC-CPN_Q&amp;A'!#REF!,'Writing assignments'!$C46,'SPC-CPN_Q&amp;A'!$O:$O,"Recall")</f>
        <v>#REF!</v>
      </c>
      <c r="AE46" s="83" t="e">
        <f>COUNTIFS('SPC-CPN_Q&amp;A'!#REF!,W$1,'SPC-CPN_Q&amp;A'!#REF!,'Writing assignments'!$C46,'SPC-CPN_Q&amp;A'!$O:$O,"Application")</f>
        <v>#REF!</v>
      </c>
      <c r="AF46" s="83" t="e">
        <f>COUNTIFS('SPC-CPN_Q&amp;A'!#REF!,W$1,'SPC-CPN_Q&amp;A'!#REF!,'Writing assignments'!$C46,'SPC-CPN_Q&amp;A'!$O:$O,"Analysis")</f>
        <v>#REF!</v>
      </c>
      <c r="AG46" s="82"/>
      <c r="AK46" s="84"/>
      <c r="AM46" s="83" t="e">
        <f t="shared" si="6"/>
        <v>#REF!</v>
      </c>
      <c r="AN46" s="83" t="e">
        <f>COUNTIFS('SPC-CPN_Q&amp;A'!#REF!,AG$1,'SPC-CPN_Q&amp;A'!#REF!,'Writing assignments'!$C46,'SPC-CPN_Q&amp;A'!$O:$O,"Recall")</f>
        <v>#REF!</v>
      </c>
      <c r="AO46" s="83" t="e">
        <f>COUNTIFS('SPC-CPN_Q&amp;A'!#REF!,AG$1,'SPC-CPN_Q&amp;A'!#REF!,'Writing assignments'!$C46,'SPC-CPN_Q&amp;A'!$O:$O,"Application")</f>
        <v>#REF!</v>
      </c>
      <c r="AP46" s="83" t="e">
        <f>COUNTIFS('SPC-CPN_Q&amp;A'!#REF!,AG$1,'SPC-CPN_Q&amp;A'!#REF!,'Writing assignments'!$C46,'SPC-CPN_Q&amp;A'!$O:$O,"Analysis")</f>
        <v>#REF!</v>
      </c>
      <c r="AQ46" s="82"/>
      <c r="AR46" s="83">
        <v>0</v>
      </c>
      <c r="AU46" s="84"/>
      <c r="BB46" s="83" t="e">
        <f t="shared" si="7"/>
        <v>#REF!</v>
      </c>
      <c r="BC46" s="83" t="e">
        <f>COUNTIFS('SPC-CPN_Q&amp;A'!#REF!,AV$1,'SPC-CPN_Q&amp;A'!#REF!,'Writing assignments'!$C46,'SPC-CPN_Q&amp;A'!$O:$O,"Recall")</f>
        <v>#REF!</v>
      </c>
      <c r="BD46" s="83" t="e">
        <f>COUNTIFS('SPC-CPN_Q&amp;A'!#REF!,AV$1,'SPC-CPN_Q&amp;A'!#REF!,'Writing assignments'!$C46,'SPC-CPN_Q&amp;A'!$O:$O,"Application")</f>
        <v>#REF!</v>
      </c>
      <c r="BE46" s="83" t="e">
        <f>COUNTIFS('SPC-CPN_Q&amp;A'!#REF!,AV$1,'SPC-CPN_Q&amp;A'!#REF!,'Writing assignments'!$C46,'SPC-CPN_Q&amp;A'!$O:$O,"Analysis")</f>
        <v>#REF!</v>
      </c>
      <c r="BF46" s="82" t="s">
        <v>71</v>
      </c>
      <c r="BG46" s="83">
        <v>2</v>
      </c>
      <c r="BH46" s="83">
        <v>0</v>
      </c>
      <c r="BI46" s="83">
        <v>2</v>
      </c>
      <c r="BJ46" s="84">
        <v>0</v>
      </c>
      <c r="BL46" s="83" t="e">
        <f t="shared" si="8"/>
        <v>#REF!</v>
      </c>
      <c r="BM46" s="83" t="e">
        <f>COUNTIFS('SPC-CPN_Q&amp;A'!#REF!,BF$1,'SPC-CPN_Q&amp;A'!#REF!,'Writing assignments'!$C46,'SPC-CPN_Q&amp;A'!$O:$O,"Recall")</f>
        <v>#REF!</v>
      </c>
      <c r="BN46" s="83" t="e">
        <f>COUNTIFS('SPC-CPN_Q&amp;A'!#REF!,BF$1,'SPC-CPN_Q&amp;A'!#REF!,'Writing assignments'!$C46,'SPC-CPN_Q&amp;A'!$O:$O,"Application")</f>
        <v>#REF!</v>
      </c>
      <c r="BO46" s="83" t="e">
        <f>COUNTIFS('SPC-CPN_Q&amp;A'!#REF!,BF$1,'SPC-CPN_Q&amp;A'!#REF!,'Writing assignments'!$C46,'SPC-CPN_Q&amp;A'!$O:$O,"Analysis")</f>
        <v>#REF!</v>
      </c>
      <c r="BP46" s="82"/>
      <c r="BT46" s="84"/>
      <c r="BV46" s="83" t="e">
        <f t="shared" si="9"/>
        <v>#REF!</v>
      </c>
      <c r="BW46" s="83" t="e">
        <f>COUNTIFS('SPC-CPN_Q&amp;A'!#REF!,BP$1,'SPC-CPN_Q&amp;A'!#REF!,'Writing assignments'!$C46,'SPC-CPN_Q&amp;A'!$O:$O,"Recall")</f>
        <v>#REF!</v>
      </c>
      <c r="BX46" s="83" t="e">
        <f>COUNTIFS('SPC-CPN_Q&amp;A'!#REF!,BP$1,'SPC-CPN_Q&amp;A'!#REF!,'Writing assignments'!$C46,'SPC-CPN_Q&amp;A'!$O:$O,"Application")</f>
        <v>#REF!</v>
      </c>
      <c r="BY46" s="83" t="e">
        <f>COUNTIFS('SPC-CPN_Q&amp;A'!#REF!,BP$1,'SPC-CPN_Q&amp;A'!#REF!,'Writing assignments'!$C46,'SPC-CPN_Q&amp;A'!$O:$O,"Analysis")</f>
        <v>#REF!</v>
      </c>
      <c r="CA46" s="83">
        <v>0</v>
      </c>
    </row>
    <row r="47" spans="2:79" x14ac:dyDescent="0.25">
      <c r="B47" s="74" t="s">
        <v>3614</v>
      </c>
      <c r="C47" s="74" t="s">
        <v>3620</v>
      </c>
      <c r="D47" s="6"/>
      <c r="E47" s="6">
        <v>0</v>
      </c>
      <c r="F47" s="6">
        <v>1</v>
      </c>
      <c r="G47" s="6">
        <v>1</v>
      </c>
      <c r="H47" s="6">
        <f t="shared" si="2"/>
        <v>2</v>
      </c>
      <c r="J47" s="42">
        <f t="shared" si="10"/>
        <v>0</v>
      </c>
      <c r="K47" s="82"/>
      <c r="L47" s="84">
        <v>0</v>
      </c>
      <c r="M47" s="82"/>
      <c r="N47" s="83">
        <f t="shared" si="3"/>
        <v>0</v>
      </c>
      <c r="S47" s="83" t="e">
        <f t="shared" si="4"/>
        <v>#REF!</v>
      </c>
      <c r="T47" s="83" t="e">
        <f>COUNTIFS('SPC-CPN_Q&amp;A'!#REF!,M$1,'SPC-CPN_Q&amp;A'!#REF!,'Writing assignments'!$C47,'SPC-CPN_Q&amp;A'!$O:$O,"Recall")</f>
        <v>#REF!</v>
      </c>
      <c r="U47" s="83" t="e">
        <f>COUNTIFS('SPC-CPN_Q&amp;A'!#REF!,M$1,'SPC-CPN_Q&amp;A'!#REF!,'Writing assignments'!$C47,'SPC-CPN_Q&amp;A'!$O:$O,"Application")</f>
        <v>#REF!</v>
      </c>
      <c r="V47" s="84" t="e">
        <f>COUNTIFS('SPC-CPN_Q&amp;A'!#REF!,M$1,'SPC-CPN_Q&amp;A'!#REF!,'Writing assignments'!$C47,'SPC-CPN_Q&amp;A'!$O:$O,"Analysis")</f>
        <v>#REF!</v>
      </c>
      <c r="AA47" s="84"/>
      <c r="AC47" s="83" t="e">
        <f t="shared" si="5"/>
        <v>#REF!</v>
      </c>
      <c r="AD47" s="83" t="e">
        <f>COUNTIFS('SPC-CPN_Q&amp;A'!#REF!,W$1,'SPC-CPN_Q&amp;A'!#REF!,'Writing assignments'!$C47,'SPC-CPN_Q&amp;A'!$O:$O,"Recall")</f>
        <v>#REF!</v>
      </c>
      <c r="AE47" s="83" t="e">
        <f>COUNTIFS('SPC-CPN_Q&amp;A'!#REF!,W$1,'SPC-CPN_Q&amp;A'!#REF!,'Writing assignments'!$C47,'SPC-CPN_Q&amp;A'!$O:$O,"Application")</f>
        <v>#REF!</v>
      </c>
      <c r="AF47" s="83" t="e">
        <f>COUNTIFS('SPC-CPN_Q&amp;A'!#REF!,W$1,'SPC-CPN_Q&amp;A'!#REF!,'Writing assignments'!$C47,'SPC-CPN_Q&amp;A'!$O:$O,"Analysis")</f>
        <v>#REF!</v>
      </c>
      <c r="AG47" s="82"/>
      <c r="AK47" s="84"/>
      <c r="AM47" s="83" t="e">
        <f t="shared" si="6"/>
        <v>#REF!</v>
      </c>
      <c r="AN47" s="83" t="e">
        <f>COUNTIFS('SPC-CPN_Q&amp;A'!#REF!,AG$1,'SPC-CPN_Q&amp;A'!#REF!,'Writing assignments'!$C47,'SPC-CPN_Q&amp;A'!$O:$O,"Recall")</f>
        <v>#REF!</v>
      </c>
      <c r="AO47" s="83" t="e">
        <f>COUNTIFS('SPC-CPN_Q&amp;A'!#REF!,AG$1,'SPC-CPN_Q&amp;A'!#REF!,'Writing assignments'!$C47,'SPC-CPN_Q&amp;A'!$O:$O,"Application")</f>
        <v>#REF!</v>
      </c>
      <c r="AP47" s="83" t="e">
        <f>COUNTIFS('SPC-CPN_Q&amp;A'!#REF!,AG$1,'SPC-CPN_Q&amp;A'!#REF!,'Writing assignments'!$C47,'SPC-CPN_Q&amp;A'!$O:$O,"Analysis")</f>
        <v>#REF!</v>
      </c>
      <c r="AQ47" s="82"/>
      <c r="AR47" s="83">
        <v>0</v>
      </c>
      <c r="AU47" s="84"/>
      <c r="BB47" s="83" t="e">
        <f t="shared" si="7"/>
        <v>#REF!</v>
      </c>
      <c r="BC47" s="83" t="e">
        <f>COUNTIFS('SPC-CPN_Q&amp;A'!#REF!,AV$1,'SPC-CPN_Q&amp;A'!#REF!,'Writing assignments'!$C47,'SPC-CPN_Q&amp;A'!$O:$O,"Recall")</f>
        <v>#REF!</v>
      </c>
      <c r="BD47" s="83" t="e">
        <f>COUNTIFS('SPC-CPN_Q&amp;A'!#REF!,AV$1,'SPC-CPN_Q&amp;A'!#REF!,'Writing assignments'!$C47,'SPC-CPN_Q&amp;A'!$O:$O,"Application")</f>
        <v>#REF!</v>
      </c>
      <c r="BE47" s="83" t="e">
        <f>COUNTIFS('SPC-CPN_Q&amp;A'!#REF!,AV$1,'SPC-CPN_Q&amp;A'!#REF!,'Writing assignments'!$C47,'SPC-CPN_Q&amp;A'!$O:$O,"Analysis")</f>
        <v>#REF!</v>
      </c>
      <c r="BF47" s="82" t="s">
        <v>71</v>
      </c>
      <c r="BG47" s="83">
        <v>2</v>
      </c>
      <c r="BH47" s="83">
        <v>0</v>
      </c>
      <c r="BI47" s="83">
        <v>1</v>
      </c>
      <c r="BJ47" s="84">
        <v>1</v>
      </c>
      <c r="BL47" s="83" t="e">
        <f t="shared" si="8"/>
        <v>#REF!</v>
      </c>
      <c r="BM47" s="83" t="e">
        <f>COUNTIFS('SPC-CPN_Q&amp;A'!#REF!,BF$1,'SPC-CPN_Q&amp;A'!#REF!,'Writing assignments'!$C47,'SPC-CPN_Q&amp;A'!$O:$O,"Recall")</f>
        <v>#REF!</v>
      </c>
      <c r="BN47" s="83" t="e">
        <f>COUNTIFS('SPC-CPN_Q&amp;A'!#REF!,BF$1,'SPC-CPN_Q&amp;A'!#REF!,'Writing assignments'!$C47,'SPC-CPN_Q&amp;A'!$O:$O,"Application")</f>
        <v>#REF!</v>
      </c>
      <c r="BO47" s="83" t="e">
        <f>COUNTIFS('SPC-CPN_Q&amp;A'!#REF!,BF$1,'SPC-CPN_Q&amp;A'!#REF!,'Writing assignments'!$C47,'SPC-CPN_Q&amp;A'!$O:$O,"Analysis")</f>
        <v>#REF!</v>
      </c>
      <c r="BP47" s="82"/>
      <c r="BT47" s="84"/>
      <c r="BV47" s="83" t="e">
        <f t="shared" si="9"/>
        <v>#REF!</v>
      </c>
      <c r="BW47" s="83" t="e">
        <f>COUNTIFS('SPC-CPN_Q&amp;A'!#REF!,BP$1,'SPC-CPN_Q&amp;A'!#REF!,'Writing assignments'!$C47,'SPC-CPN_Q&amp;A'!$O:$O,"Recall")</f>
        <v>#REF!</v>
      </c>
      <c r="BX47" s="83" t="e">
        <f>COUNTIFS('SPC-CPN_Q&amp;A'!#REF!,BP$1,'SPC-CPN_Q&amp;A'!#REF!,'Writing assignments'!$C47,'SPC-CPN_Q&amp;A'!$O:$O,"Application")</f>
        <v>#REF!</v>
      </c>
      <c r="BY47" s="83" t="e">
        <f>COUNTIFS('SPC-CPN_Q&amp;A'!#REF!,BP$1,'SPC-CPN_Q&amp;A'!#REF!,'Writing assignments'!$C47,'SPC-CPN_Q&amp;A'!$O:$O,"Analysis")</f>
        <v>#REF!</v>
      </c>
      <c r="CA47" s="83">
        <v>0</v>
      </c>
    </row>
    <row r="48" spans="2:79" x14ac:dyDescent="0.25">
      <c r="B48" s="74" t="s">
        <v>3614</v>
      </c>
      <c r="C48" s="74" t="s">
        <v>3621</v>
      </c>
      <c r="D48" s="6"/>
      <c r="E48" s="6">
        <v>0</v>
      </c>
      <c r="F48" s="6">
        <v>1</v>
      </c>
      <c r="G48" s="6">
        <v>1</v>
      </c>
      <c r="H48" s="6">
        <f t="shared" si="2"/>
        <v>2</v>
      </c>
      <c r="J48" s="42">
        <f t="shared" si="10"/>
        <v>0</v>
      </c>
      <c r="K48" s="82"/>
      <c r="L48" s="84">
        <v>0</v>
      </c>
      <c r="M48" s="82"/>
      <c r="N48" s="83">
        <f t="shared" si="3"/>
        <v>0</v>
      </c>
      <c r="S48" s="83" t="e">
        <f t="shared" si="4"/>
        <v>#REF!</v>
      </c>
      <c r="T48" s="83" t="e">
        <f>COUNTIFS('SPC-CPN_Q&amp;A'!#REF!,M$1,'SPC-CPN_Q&amp;A'!#REF!,'Writing assignments'!$C48,'SPC-CPN_Q&amp;A'!$O:$O,"Recall")</f>
        <v>#REF!</v>
      </c>
      <c r="U48" s="83" t="e">
        <f>COUNTIFS('SPC-CPN_Q&amp;A'!#REF!,M$1,'SPC-CPN_Q&amp;A'!#REF!,'Writing assignments'!$C48,'SPC-CPN_Q&amp;A'!$O:$O,"Application")</f>
        <v>#REF!</v>
      </c>
      <c r="V48" s="84" t="e">
        <f>COUNTIFS('SPC-CPN_Q&amp;A'!#REF!,M$1,'SPC-CPN_Q&amp;A'!#REF!,'Writing assignments'!$C48,'SPC-CPN_Q&amp;A'!$O:$O,"Analysis")</f>
        <v>#REF!</v>
      </c>
      <c r="AA48" s="84"/>
      <c r="AC48" s="83" t="e">
        <f t="shared" si="5"/>
        <v>#REF!</v>
      </c>
      <c r="AD48" s="83" t="e">
        <f>COUNTIFS('SPC-CPN_Q&amp;A'!#REF!,W$1,'SPC-CPN_Q&amp;A'!#REF!,'Writing assignments'!$C48,'SPC-CPN_Q&amp;A'!$O:$O,"Recall")</f>
        <v>#REF!</v>
      </c>
      <c r="AE48" s="83" t="e">
        <f>COUNTIFS('SPC-CPN_Q&amp;A'!#REF!,W$1,'SPC-CPN_Q&amp;A'!#REF!,'Writing assignments'!$C48,'SPC-CPN_Q&amp;A'!$O:$O,"Application")</f>
        <v>#REF!</v>
      </c>
      <c r="AF48" s="83" t="e">
        <f>COUNTIFS('SPC-CPN_Q&amp;A'!#REF!,W$1,'SPC-CPN_Q&amp;A'!#REF!,'Writing assignments'!$C48,'SPC-CPN_Q&amp;A'!$O:$O,"Analysis")</f>
        <v>#REF!</v>
      </c>
      <c r="AG48" s="82"/>
      <c r="AK48" s="84"/>
      <c r="AM48" s="83" t="e">
        <f t="shared" si="6"/>
        <v>#REF!</v>
      </c>
      <c r="AN48" s="83" t="e">
        <f>COUNTIFS('SPC-CPN_Q&amp;A'!#REF!,AG$1,'SPC-CPN_Q&amp;A'!#REF!,'Writing assignments'!$C48,'SPC-CPN_Q&amp;A'!$O:$O,"Recall")</f>
        <v>#REF!</v>
      </c>
      <c r="AO48" s="83" t="e">
        <f>COUNTIFS('SPC-CPN_Q&amp;A'!#REF!,AG$1,'SPC-CPN_Q&amp;A'!#REF!,'Writing assignments'!$C48,'SPC-CPN_Q&amp;A'!$O:$O,"Application")</f>
        <v>#REF!</v>
      </c>
      <c r="AP48" s="83" t="e">
        <f>COUNTIFS('SPC-CPN_Q&amp;A'!#REF!,AG$1,'SPC-CPN_Q&amp;A'!#REF!,'Writing assignments'!$C48,'SPC-CPN_Q&amp;A'!$O:$O,"Analysis")</f>
        <v>#REF!</v>
      </c>
      <c r="AQ48" s="82"/>
      <c r="AR48" s="83">
        <v>0</v>
      </c>
      <c r="AU48" s="84"/>
      <c r="BB48" s="83" t="e">
        <f t="shared" si="7"/>
        <v>#REF!</v>
      </c>
      <c r="BC48" s="83" t="e">
        <f>COUNTIFS('SPC-CPN_Q&amp;A'!#REF!,AV$1,'SPC-CPN_Q&amp;A'!#REF!,'Writing assignments'!$C48,'SPC-CPN_Q&amp;A'!$O:$O,"Recall")</f>
        <v>#REF!</v>
      </c>
      <c r="BD48" s="83" t="e">
        <f>COUNTIFS('SPC-CPN_Q&amp;A'!#REF!,AV$1,'SPC-CPN_Q&amp;A'!#REF!,'Writing assignments'!$C48,'SPC-CPN_Q&amp;A'!$O:$O,"Application")</f>
        <v>#REF!</v>
      </c>
      <c r="BE48" s="83" t="e">
        <f>COUNTIFS('SPC-CPN_Q&amp;A'!#REF!,AV$1,'SPC-CPN_Q&amp;A'!#REF!,'Writing assignments'!$C48,'SPC-CPN_Q&amp;A'!$O:$O,"Analysis")</f>
        <v>#REF!</v>
      </c>
      <c r="BF48" s="82" t="s">
        <v>71</v>
      </c>
      <c r="BG48" s="83">
        <v>2</v>
      </c>
      <c r="BH48" s="83">
        <v>0</v>
      </c>
      <c r="BI48" s="83">
        <v>1</v>
      </c>
      <c r="BJ48" s="84">
        <v>1</v>
      </c>
      <c r="BL48" s="83" t="e">
        <f t="shared" si="8"/>
        <v>#REF!</v>
      </c>
      <c r="BM48" s="83" t="e">
        <f>COUNTIFS('SPC-CPN_Q&amp;A'!#REF!,BF$1,'SPC-CPN_Q&amp;A'!#REF!,'Writing assignments'!$C48,'SPC-CPN_Q&amp;A'!$O:$O,"Recall")</f>
        <v>#REF!</v>
      </c>
      <c r="BN48" s="83" t="e">
        <f>COUNTIFS('SPC-CPN_Q&amp;A'!#REF!,BF$1,'SPC-CPN_Q&amp;A'!#REF!,'Writing assignments'!$C48,'SPC-CPN_Q&amp;A'!$O:$O,"Application")</f>
        <v>#REF!</v>
      </c>
      <c r="BO48" s="83" t="e">
        <f>COUNTIFS('SPC-CPN_Q&amp;A'!#REF!,BF$1,'SPC-CPN_Q&amp;A'!#REF!,'Writing assignments'!$C48,'SPC-CPN_Q&amp;A'!$O:$O,"Analysis")</f>
        <v>#REF!</v>
      </c>
      <c r="BP48" s="82"/>
      <c r="BT48" s="84"/>
      <c r="BV48" s="83" t="e">
        <f t="shared" si="9"/>
        <v>#REF!</v>
      </c>
      <c r="BW48" s="83" t="e">
        <f>COUNTIFS('SPC-CPN_Q&amp;A'!#REF!,BP$1,'SPC-CPN_Q&amp;A'!#REF!,'Writing assignments'!$C48,'SPC-CPN_Q&amp;A'!$O:$O,"Recall")</f>
        <v>#REF!</v>
      </c>
      <c r="BX48" s="83" t="e">
        <f>COUNTIFS('SPC-CPN_Q&amp;A'!#REF!,BP$1,'SPC-CPN_Q&amp;A'!#REF!,'Writing assignments'!$C48,'SPC-CPN_Q&amp;A'!$O:$O,"Application")</f>
        <v>#REF!</v>
      </c>
      <c r="BY48" s="83" t="e">
        <f>COUNTIFS('SPC-CPN_Q&amp;A'!#REF!,BP$1,'SPC-CPN_Q&amp;A'!#REF!,'Writing assignments'!$C48,'SPC-CPN_Q&amp;A'!$O:$O,"Analysis")</f>
        <v>#REF!</v>
      </c>
      <c r="CA48" s="83">
        <v>0</v>
      </c>
    </row>
    <row r="49" spans="2:79" x14ac:dyDescent="0.25">
      <c r="B49" s="74" t="s">
        <v>3614</v>
      </c>
      <c r="C49" s="74" t="s">
        <v>3622</v>
      </c>
      <c r="D49" s="6"/>
      <c r="E49" s="6">
        <v>0</v>
      </c>
      <c r="F49" s="6">
        <v>2</v>
      </c>
      <c r="G49" s="6">
        <v>0</v>
      </c>
      <c r="H49" s="6">
        <f t="shared" si="2"/>
        <v>2</v>
      </c>
      <c r="J49" s="42">
        <f t="shared" si="10"/>
        <v>0</v>
      </c>
      <c r="K49" s="82"/>
      <c r="L49" s="84">
        <v>0</v>
      </c>
      <c r="M49" s="82"/>
      <c r="N49" s="83">
        <f t="shared" si="3"/>
        <v>0</v>
      </c>
      <c r="Q49" s="84"/>
      <c r="S49" s="83" t="e">
        <f t="shared" si="4"/>
        <v>#REF!</v>
      </c>
      <c r="T49" s="83" t="e">
        <f>COUNTIFS('SPC-CPN_Q&amp;A'!#REF!,M$1,'SPC-CPN_Q&amp;A'!#REF!,'Writing assignments'!$C49,'SPC-CPN_Q&amp;A'!$O:$O,"Recall")</f>
        <v>#REF!</v>
      </c>
      <c r="U49" s="83" t="e">
        <f>COUNTIFS('SPC-CPN_Q&amp;A'!#REF!,M$1,'SPC-CPN_Q&amp;A'!#REF!,'Writing assignments'!$C49,'SPC-CPN_Q&amp;A'!$O:$O,"Application")</f>
        <v>#REF!</v>
      </c>
      <c r="V49" s="84" t="e">
        <f>COUNTIFS('SPC-CPN_Q&amp;A'!#REF!,M$1,'SPC-CPN_Q&amp;A'!#REF!,'Writing assignments'!$C49,'SPC-CPN_Q&amp;A'!$O:$O,"Analysis")</f>
        <v>#REF!</v>
      </c>
      <c r="AA49" s="84"/>
      <c r="AC49" s="83" t="e">
        <f t="shared" si="5"/>
        <v>#REF!</v>
      </c>
      <c r="AD49" s="83" t="e">
        <f>COUNTIFS('SPC-CPN_Q&amp;A'!#REF!,W$1,'SPC-CPN_Q&amp;A'!#REF!,'Writing assignments'!$C49,'SPC-CPN_Q&amp;A'!$O:$O,"Recall")</f>
        <v>#REF!</v>
      </c>
      <c r="AE49" s="83" t="e">
        <f>COUNTIFS('SPC-CPN_Q&amp;A'!#REF!,W$1,'SPC-CPN_Q&amp;A'!#REF!,'Writing assignments'!$C49,'SPC-CPN_Q&amp;A'!$O:$O,"Application")</f>
        <v>#REF!</v>
      </c>
      <c r="AF49" s="83" t="e">
        <f>COUNTIFS('SPC-CPN_Q&amp;A'!#REF!,W$1,'SPC-CPN_Q&amp;A'!#REF!,'Writing assignments'!$C49,'SPC-CPN_Q&amp;A'!$O:$O,"Analysis")</f>
        <v>#REF!</v>
      </c>
      <c r="AG49" s="82"/>
      <c r="AK49" s="84"/>
      <c r="AM49" s="83" t="e">
        <f t="shared" si="6"/>
        <v>#REF!</v>
      </c>
      <c r="AN49" s="83" t="e">
        <f>COUNTIFS('SPC-CPN_Q&amp;A'!#REF!,AG$1,'SPC-CPN_Q&amp;A'!#REF!,'Writing assignments'!$C49,'SPC-CPN_Q&amp;A'!$O:$O,"Recall")</f>
        <v>#REF!</v>
      </c>
      <c r="AO49" s="83" t="e">
        <f>COUNTIFS('SPC-CPN_Q&amp;A'!#REF!,AG$1,'SPC-CPN_Q&amp;A'!#REF!,'Writing assignments'!$C49,'SPC-CPN_Q&amp;A'!$O:$O,"Application")</f>
        <v>#REF!</v>
      </c>
      <c r="AP49" s="83" t="e">
        <f>COUNTIFS('SPC-CPN_Q&amp;A'!#REF!,AG$1,'SPC-CPN_Q&amp;A'!#REF!,'Writing assignments'!$C49,'SPC-CPN_Q&amp;A'!$O:$O,"Analysis")</f>
        <v>#REF!</v>
      </c>
      <c r="AQ49" s="82"/>
      <c r="AU49" s="84"/>
      <c r="AV49" s="82" t="s">
        <v>71</v>
      </c>
      <c r="AW49" s="83">
        <v>2</v>
      </c>
      <c r="AX49" s="83">
        <v>0</v>
      </c>
      <c r="AY49" s="83">
        <v>2</v>
      </c>
      <c r="AZ49" s="84">
        <v>0</v>
      </c>
      <c r="BB49" s="83" t="e">
        <f t="shared" si="7"/>
        <v>#REF!</v>
      </c>
      <c r="BC49" s="83" t="e">
        <f>COUNTIFS('SPC-CPN_Q&amp;A'!#REF!,AV$1,'SPC-CPN_Q&amp;A'!#REF!,'Writing assignments'!$C49,'SPC-CPN_Q&amp;A'!$O:$O,"Recall")</f>
        <v>#REF!</v>
      </c>
      <c r="BD49" s="83" t="e">
        <f>COUNTIFS('SPC-CPN_Q&amp;A'!#REF!,AV$1,'SPC-CPN_Q&amp;A'!#REF!,'Writing assignments'!$C49,'SPC-CPN_Q&amp;A'!$O:$O,"Application")</f>
        <v>#REF!</v>
      </c>
      <c r="BE49" s="83" t="e">
        <f>COUNTIFS('SPC-CPN_Q&amp;A'!#REF!,AV$1,'SPC-CPN_Q&amp;A'!#REF!,'Writing assignments'!$C49,'SPC-CPN_Q&amp;A'!$O:$O,"Analysis")</f>
        <v>#REF!</v>
      </c>
      <c r="BF49" s="82"/>
      <c r="BJ49" s="84"/>
      <c r="BL49" s="83" t="e">
        <f t="shared" si="8"/>
        <v>#REF!</v>
      </c>
      <c r="BM49" s="83" t="e">
        <f>COUNTIFS('SPC-CPN_Q&amp;A'!#REF!,BF$1,'SPC-CPN_Q&amp;A'!#REF!,'Writing assignments'!$C49,'SPC-CPN_Q&amp;A'!$O:$O,"Recall")</f>
        <v>#REF!</v>
      </c>
      <c r="BN49" s="83" t="e">
        <f>COUNTIFS('SPC-CPN_Q&amp;A'!#REF!,BF$1,'SPC-CPN_Q&amp;A'!#REF!,'Writing assignments'!$C49,'SPC-CPN_Q&amp;A'!$O:$O,"Application")</f>
        <v>#REF!</v>
      </c>
      <c r="BO49" s="83" t="e">
        <f>COUNTIFS('SPC-CPN_Q&amp;A'!#REF!,BF$1,'SPC-CPN_Q&amp;A'!#REF!,'Writing assignments'!$C49,'SPC-CPN_Q&amp;A'!$O:$O,"Analysis")</f>
        <v>#REF!</v>
      </c>
      <c r="BP49" s="82"/>
      <c r="BT49" s="84"/>
      <c r="BV49" s="83" t="e">
        <f t="shared" si="9"/>
        <v>#REF!</v>
      </c>
      <c r="BW49" s="83" t="e">
        <f>COUNTIFS('SPC-CPN_Q&amp;A'!#REF!,BP$1,'SPC-CPN_Q&amp;A'!#REF!,'Writing assignments'!$C49,'SPC-CPN_Q&amp;A'!$O:$O,"Recall")</f>
        <v>#REF!</v>
      </c>
      <c r="BX49" s="83" t="e">
        <f>COUNTIFS('SPC-CPN_Q&amp;A'!#REF!,BP$1,'SPC-CPN_Q&amp;A'!#REF!,'Writing assignments'!$C49,'SPC-CPN_Q&amp;A'!$O:$O,"Application")</f>
        <v>#REF!</v>
      </c>
      <c r="BY49" s="83" t="e">
        <f>COUNTIFS('SPC-CPN_Q&amp;A'!#REF!,BP$1,'SPC-CPN_Q&amp;A'!#REF!,'Writing assignments'!$C49,'SPC-CPN_Q&amp;A'!$O:$O,"Analysis")</f>
        <v>#REF!</v>
      </c>
      <c r="CA49" s="83">
        <v>0</v>
      </c>
    </row>
    <row r="50" spans="2:79" x14ac:dyDescent="0.25">
      <c r="B50" s="74" t="s">
        <v>3614</v>
      </c>
      <c r="C50" s="74" t="s">
        <v>3623</v>
      </c>
      <c r="D50" s="6"/>
      <c r="E50" s="6">
        <v>1</v>
      </c>
      <c r="F50" s="6">
        <v>1</v>
      </c>
      <c r="G50" s="6">
        <v>0</v>
      </c>
      <c r="H50" s="6">
        <f t="shared" si="2"/>
        <v>2</v>
      </c>
      <c r="J50" s="42">
        <f t="shared" si="10"/>
        <v>0</v>
      </c>
      <c r="K50" s="82"/>
      <c r="L50" s="84">
        <v>0</v>
      </c>
      <c r="M50" s="82"/>
      <c r="N50" s="83">
        <f t="shared" si="3"/>
        <v>0</v>
      </c>
      <c r="Q50" s="84"/>
      <c r="S50" s="83" t="e">
        <f t="shared" si="4"/>
        <v>#REF!</v>
      </c>
      <c r="T50" s="83" t="e">
        <f>COUNTIFS('SPC-CPN_Q&amp;A'!#REF!,M$1,'SPC-CPN_Q&amp;A'!#REF!,'Writing assignments'!$C50,'SPC-CPN_Q&amp;A'!$O:$O,"Recall")</f>
        <v>#REF!</v>
      </c>
      <c r="U50" s="83" t="e">
        <f>COUNTIFS('SPC-CPN_Q&amp;A'!#REF!,M$1,'SPC-CPN_Q&amp;A'!#REF!,'Writing assignments'!$C50,'SPC-CPN_Q&amp;A'!$O:$O,"Application")</f>
        <v>#REF!</v>
      </c>
      <c r="V50" s="84" t="e">
        <f>COUNTIFS('SPC-CPN_Q&amp;A'!#REF!,M$1,'SPC-CPN_Q&amp;A'!#REF!,'Writing assignments'!$C50,'SPC-CPN_Q&amp;A'!$O:$O,"Analysis")</f>
        <v>#REF!</v>
      </c>
      <c r="AA50" s="84"/>
      <c r="AC50" s="83" t="e">
        <f t="shared" si="5"/>
        <v>#REF!</v>
      </c>
      <c r="AD50" s="83" t="e">
        <f>COUNTIFS('SPC-CPN_Q&amp;A'!#REF!,W$1,'SPC-CPN_Q&amp;A'!#REF!,'Writing assignments'!$C50,'SPC-CPN_Q&amp;A'!$O:$O,"Recall")</f>
        <v>#REF!</v>
      </c>
      <c r="AE50" s="83" t="e">
        <f>COUNTIFS('SPC-CPN_Q&amp;A'!#REF!,W$1,'SPC-CPN_Q&amp;A'!#REF!,'Writing assignments'!$C50,'SPC-CPN_Q&amp;A'!$O:$O,"Application")</f>
        <v>#REF!</v>
      </c>
      <c r="AF50" s="83" t="e">
        <f>COUNTIFS('SPC-CPN_Q&amp;A'!#REF!,W$1,'SPC-CPN_Q&amp;A'!#REF!,'Writing assignments'!$C50,'SPC-CPN_Q&amp;A'!$O:$O,"Analysis")</f>
        <v>#REF!</v>
      </c>
      <c r="AG50" s="82"/>
      <c r="AK50" s="84"/>
      <c r="AM50" s="83" t="e">
        <f t="shared" si="6"/>
        <v>#REF!</v>
      </c>
      <c r="AN50" s="83" t="e">
        <f>COUNTIFS('SPC-CPN_Q&amp;A'!#REF!,AG$1,'SPC-CPN_Q&amp;A'!#REF!,'Writing assignments'!$C50,'SPC-CPN_Q&amp;A'!$O:$O,"Recall")</f>
        <v>#REF!</v>
      </c>
      <c r="AO50" s="83" t="e">
        <f>COUNTIFS('SPC-CPN_Q&amp;A'!#REF!,AG$1,'SPC-CPN_Q&amp;A'!#REF!,'Writing assignments'!$C50,'SPC-CPN_Q&amp;A'!$O:$O,"Application")</f>
        <v>#REF!</v>
      </c>
      <c r="AP50" s="83" t="e">
        <f>COUNTIFS('SPC-CPN_Q&amp;A'!#REF!,AG$1,'SPC-CPN_Q&amp;A'!#REF!,'Writing assignments'!$C50,'SPC-CPN_Q&amp;A'!$O:$O,"Analysis")</f>
        <v>#REF!</v>
      </c>
      <c r="AQ50" s="82"/>
      <c r="AU50" s="84"/>
      <c r="AV50" s="82" t="s">
        <v>71</v>
      </c>
      <c r="AW50" s="83">
        <v>2</v>
      </c>
      <c r="AX50" s="83">
        <v>1</v>
      </c>
      <c r="AY50" s="83">
        <v>1</v>
      </c>
      <c r="AZ50" s="84">
        <v>0</v>
      </c>
      <c r="BB50" s="83" t="e">
        <f t="shared" si="7"/>
        <v>#REF!</v>
      </c>
      <c r="BC50" s="83" t="e">
        <f>COUNTIFS('SPC-CPN_Q&amp;A'!#REF!,AV$1,'SPC-CPN_Q&amp;A'!#REF!,'Writing assignments'!$C50,'SPC-CPN_Q&amp;A'!$O:$O,"Recall")</f>
        <v>#REF!</v>
      </c>
      <c r="BD50" s="83" t="e">
        <f>COUNTIFS('SPC-CPN_Q&amp;A'!#REF!,AV$1,'SPC-CPN_Q&amp;A'!#REF!,'Writing assignments'!$C50,'SPC-CPN_Q&amp;A'!$O:$O,"Application")</f>
        <v>#REF!</v>
      </c>
      <c r="BE50" s="83" t="e">
        <f>COUNTIFS('SPC-CPN_Q&amp;A'!#REF!,AV$1,'SPC-CPN_Q&amp;A'!#REF!,'Writing assignments'!$C50,'SPC-CPN_Q&amp;A'!$O:$O,"Analysis")</f>
        <v>#REF!</v>
      </c>
      <c r="BF50" s="82"/>
      <c r="BJ50" s="84"/>
      <c r="BL50" s="83" t="e">
        <f t="shared" si="8"/>
        <v>#REF!</v>
      </c>
      <c r="BM50" s="83" t="e">
        <f>COUNTIFS('SPC-CPN_Q&amp;A'!#REF!,BF$1,'SPC-CPN_Q&amp;A'!#REF!,'Writing assignments'!$C50,'SPC-CPN_Q&amp;A'!$O:$O,"Recall")</f>
        <v>#REF!</v>
      </c>
      <c r="BN50" s="83" t="e">
        <f>COUNTIFS('SPC-CPN_Q&amp;A'!#REF!,BF$1,'SPC-CPN_Q&amp;A'!#REF!,'Writing assignments'!$C50,'SPC-CPN_Q&amp;A'!$O:$O,"Application")</f>
        <v>#REF!</v>
      </c>
      <c r="BO50" s="83" t="e">
        <f>COUNTIFS('SPC-CPN_Q&amp;A'!#REF!,BF$1,'SPC-CPN_Q&amp;A'!#REF!,'Writing assignments'!$C50,'SPC-CPN_Q&amp;A'!$O:$O,"Analysis")</f>
        <v>#REF!</v>
      </c>
      <c r="BP50" s="82"/>
      <c r="BT50" s="84"/>
      <c r="BV50" s="83" t="e">
        <f t="shared" si="9"/>
        <v>#REF!</v>
      </c>
      <c r="BW50" s="83" t="e">
        <f>COUNTIFS('SPC-CPN_Q&amp;A'!#REF!,BP$1,'SPC-CPN_Q&amp;A'!#REF!,'Writing assignments'!$C50,'SPC-CPN_Q&amp;A'!$O:$O,"Recall")</f>
        <v>#REF!</v>
      </c>
      <c r="BX50" s="83" t="e">
        <f>COUNTIFS('SPC-CPN_Q&amp;A'!#REF!,BP$1,'SPC-CPN_Q&amp;A'!#REF!,'Writing assignments'!$C50,'SPC-CPN_Q&amp;A'!$O:$O,"Application")</f>
        <v>#REF!</v>
      </c>
      <c r="BY50" s="83" t="e">
        <f>COUNTIFS('SPC-CPN_Q&amp;A'!#REF!,BP$1,'SPC-CPN_Q&amp;A'!#REF!,'Writing assignments'!$C50,'SPC-CPN_Q&amp;A'!$O:$O,"Analysis")</f>
        <v>#REF!</v>
      </c>
      <c r="CA50" s="83">
        <v>0</v>
      </c>
    </row>
    <row r="51" spans="2:79" x14ac:dyDescent="0.25">
      <c r="B51" s="74" t="s">
        <v>3614</v>
      </c>
      <c r="C51" s="74" t="s">
        <v>3624</v>
      </c>
      <c r="D51" s="6"/>
      <c r="E51" s="6">
        <v>0</v>
      </c>
      <c r="F51" s="6">
        <v>1</v>
      </c>
      <c r="G51" s="6">
        <v>1</v>
      </c>
      <c r="H51" s="6">
        <f t="shared" si="2"/>
        <v>2</v>
      </c>
      <c r="J51" s="42">
        <f t="shared" si="10"/>
        <v>0</v>
      </c>
      <c r="K51" s="82"/>
      <c r="L51" s="84">
        <v>0</v>
      </c>
      <c r="M51" s="82"/>
      <c r="N51" s="83">
        <f t="shared" si="3"/>
        <v>0</v>
      </c>
      <c r="Q51" s="84"/>
      <c r="S51" s="83" t="e">
        <f t="shared" si="4"/>
        <v>#REF!</v>
      </c>
      <c r="T51" s="83" t="e">
        <f>COUNTIFS('SPC-CPN_Q&amp;A'!#REF!,M$1,'SPC-CPN_Q&amp;A'!#REF!,'Writing assignments'!$C51,'SPC-CPN_Q&amp;A'!$O:$O,"Recall")</f>
        <v>#REF!</v>
      </c>
      <c r="U51" s="83" t="e">
        <f>COUNTIFS('SPC-CPN_Q&amp;A'!#REF!,M$1,'SPC-CPN_Q&amp;A'!#REF!,'Writing assignments'!$C51,'SPC-CPN_Q&amp;A'!$O:$O,"Application")</f>
        <v>#REF!</v>
      </c>
      <c r="V51" s="84" t="e">
        <f>COUNTIFS('SPC-CPN_Q&amp;A'!#REF!,M$1,'SPC-CPN_Q&amp;A'!#REF!,'Writing assignments'!$C51,'SPC-CPN_Q&amp;A'!$O:$O,"Analysis")</f>
        <v>#REF!</v>
      </c>
      <c r="AA51" s="84"/>
      <c r="AC51" s="83" t="e">
        <f t="shared" si="5"/>
        <v>#REF!</v>
      </c>
      <c r="AD51" s="83" t="e">
        <f>COUNTIFS('SPC-CPN_Q&amp;A'!#REF!,W$1,'SPC-CPN_Q&amp;A'!#REF!,'Writing assignments'!$C51,'SPC-CPN_Q&amp;A'!$O:$O,"Recall")</f>
        <v>#REF!</v>
      </c>
      <c r="AE51" s="83" t="e">
        <f>COUNTIFS('SPC-CPN_Q&amp;A'!#REF!,W$1,'SPC-CPN_Q&amp;A'!#REF!,'Writing assignments'!$C51,'SPC-CPN_Q&amp;A'!$O:$O,"Application")</f>
        <v>#REF!</v>
      </c>
      <c r="AF51" s="83" t="e">
        <f>COUNTIFS('SPC-CPN_Q&amp;A'!#REF!,W$1,'SPC-CPN_Q&amp;A'!#REF!,'Writing assignments'!$C51,'SPC-CPN_Q&amp;A'!$O:$O,"Analysis")</f>
        <v>#REF!</v>
      </c>
      <c r="AG51" s="82"/>
      <c r="AK51" s="84"/>
      <c r="AM51" s="83" t="e">
        <f t="shared" si="6"/>
        <v>#REF!</v>
      </c>
      <c r="AN51" s="83" t="e">
        <f>COUNTIFS('SPC-CPN_Q&amp;A'!#REF!,AG$1,'SPC-CPN_Q&amp;A'!#REF!,'Writing assignments'!$C51,'SPC-CPN_Q&amp;A'!$O:$O,"Recall")</f>
        <v>#REF!</v>
      </c>
      <c r="AO51" s="83" t="e">
        <f>COUNTIFS('SPC-CPN_Q&amp;A'!#REF!,AG$1,'SPC-CPN_Q&amp;A'!#REF!,'Writing assignments'!$C51,'SPC-CPN_Q&amp;A'!$O:$O,"Application")</f>
        <v>#REF!</v>
      </c>
      <c r="AP51" s="83" t="e">
        <f>COUNTIFS('SPC-CPN_Q&amp;A'!#REF!,AG$1,'SPC-CPN_Q&amp;A'!#REF!,'Writing assignments'!$C51,'SPC-CPN_Q&amp;A'!$O:$O,"Analysis")</f>
        <v>#REF!</v>
      </c>
      <c r="AQ51" s="82"/>
      <c r="AU51" s="84"/>
      <c r="AV51" s="82" t="s">
        <v>71</v>
      </c>
      <c r="AW51" s="83">
        <v>2</v>
      </c>
      <c r="AX51" s="83">
        <v>0</v>
      </c>
      <c r="AY51" s="83">
        <v>1</v>
      </c>
      <c r="AZ51" s="84">
        <v>1</v>
      </c>
      <c r="BB51" s="83" t="e">
        <f t="shared" si="7"/>
        <v>#REF!</v>
      </c>
      <c r="BC51" s="83" t="e">
        <f>COUNTIFS('SPC-CPN_Q&amp;A'!#REF!,AV$1,'SPC-CPN_Q&amp;A'!#REF!,'Writing assignments'!$C51,'SPC-CPN_Q&amp;A'!$O:$O,"Recall")</f>
        <v>#REF!</v>
      </c>
      <c r="BD51" s="83" t="e">
        <f>COUNTIFS('SPC-CPN_Q&amp;A'!#REF!,AV$1,'SPC-CPN_Q&amp;A'!#REF!,'Writing assignments'!$C51,'SPC-CPN_Q&amp;A'!$O:$O,"Application")</f>
        <v>#REF!</v>
      </c>
      <c r="BE51" s="83" t="e">
        <f>COUNTIFS('SPC-CPN_Q&amp;A'!#REF!,AV$1,'SPC-CPN_Q&amp;A'!#REF!,'Writing assignments'!$C51,'SPC-CPN_Q&amp;A'!$O:$O,"Analysis")</f>
        <v>#REF!</v>
      </c>
      <c r="BF51" s="82"/>
      <c r="BJ51" s="84"/>
      <c r="BL51" s="83" t="e">
        <f t="shared" si="8"/>
        <v>#REF!</v>
      </c>
      <c r="BM51" s="83" t="e">
        <f>COUNTIFS('SPC-CPN_Q&amp;A'!#REF!,BF$1,'SPC-CPN_Q&amp;A'!#REF!,'Writing assignments'!$C51,'SPC-CPN_Q&amp;A'!$O:$O,"Recall")</f>
        <v>#REF!</v>
      </c>
      <c r="BN51" s="83" t="e">
        <f>COUNTIFS('SPC-CPN_Q&amp;A'!#REF!,BF$1,'SPC-CPN_Q&amp;A'!#REF!,'Writing assignments'!$C51,'SPC-CPN_Q&amp;A'!$O:$O,"Application")</f>
        <v>#REF!</v>
      </c>
      <c r="BO51" s="83" t="e">
        <f>COUNTIFS('SPC-CPN_Q&amp;A'!#REF!,BF$1,'SPC-CPN_Q&amp;A'!#REF!,'Writing assignments'!$C51,'SPC-CPN_Q&amp;A'!$O:$O,"Analysis")</f>
        <v>#REF!</v>
      </c>
      <c r="BP51" s="82"/>
      <c r="BT51" s="84"/>
      <c r="BV51" s="83" t="e">
        <f t="shared" si="9"/>
        <v>#REF!</v>
      </c>
      <c r="BW51" s="83" t="e">
        <f>COUNTIFS('SPC-CPN_Q&amp;A'!#REF!,BP$1,'SPC-CPN_Q&amp;A'!#REF!,'Writing assignments'!$C51,'SPC-CPN_Q&amp;A'!$O:$O,"Recall")</f>
        <v>#REF!</v>
      </c>
      <c r="BX51" s="83" t="e">
        <f>COUNTIFS('SPC-CPN_Q&amp;A'!#REF!,BP$1,'SPC-CPN_Q&amp;A'!#REF!,'Writing assignments'!$C51,'SPC-CPN_Q&amp;A'!$O:$O,"Application")</f>
        <v>#REF!</v>
      </c>
      <c r="BY51" s="83" t="e">
        <f>COUNTIFS('SPC-CPN_Q&amp;A'!#REF!,BP$1,'SPC-CPN_Q&amp;A'!#REF!,'Writing assignments'!$C51,'SPC-CPN_Q&amp;A'!$O:$O,"Analysis")</f>
        <v>#REF!</v>
      </c>
      <c r="CA51" s="83">
        <v>0</v>
      </c>
    </row>
    <row r="52" spans="2:79" x14ac:dyDescent="0.25">
      <c r="B52" s="74" t="s">
        <v>3614</v>
      </c>
      <c r="C52" s="74" t="s">
        <v>3625</v>
      </c>
      <c r="D52" s="6"/>
      <c r="E52" s="6">
        <v>0</v>
      </c>
      <c r="F52" s="6">
        <v>2</v>
      </c>
      <c r="G52" s="6">
        <v>0</v>
      </c>
      <c r="H52" s="6">
        <f t="shared" si="2"/>
        <v>2</v>
      </c>
      <c r="J52" s="42">
        <f t="shared" si="10"/>
        <v>0</v>
      </c>
      <c r="K52" s="82"/>
      <c r="L52" s="84">
        <v>0</v>
      </c>
      <c r="M52" s="82"/>
      <c r="N52" s="83">
        <f t="shared" si="3"/>
        <v>0</v>
      </c>
      <c r="Q52" s="84"/>
      <c r="S52" s="83" t="e">
        <f t="shared" si="4"/>
        <v>#REF!</v>
      </c>
      <c r="T52" s="83" t="e">
        <f>COUNTIFS('SPC-CPN_Q&amp;A'!#REF!,M$1,'SPC-CPN_Q&amp;A'!#REF!,'Writing assignments'!$C52,'SPC-CPN_Q&amp;A'!$O:$O,"Recall")</f>
        <v>#REF!</v>
      </c>
      <c r="U52" s="83" t="e">
        <f>COUNTIFS('SPC-CPN_Q&amp;A'!#REF!,M$1,'SPC-CPN_Q&amp;A'!#REF!,'Writing assignments'!$C52,'SPC-CPN_Q&amp;A'!$O:$O,"Application")</f>
        <v>#REF!</v>
      </c>
      <c r="V52" s="84" t="e">
        <f>COUNTIFS('SPC-CPN_Q&amp;A'!#REF!,M$1,'SPC-CPN_Q&amp;A'!#REF!,'Writing assignments'!$C52,'SPC-CPN_Q&amp;A'!$O:$O,"Analysis")</f>
        <v>#REF!</v>
      </c>
      <c r="AA52" s="84"/>
      <c r="AC52" s="83" t="e">
        <f t="shared" si="5"/>
        <v>#REF!</v>
      </c>
      <c r="AD52" s="83" t="e">
        <f>COUNTIFS('SPC-CPN_Q&amp;A'!#REF!,W$1,'SPC-CPN_Q&amp;A'!#REF!,'Writing assignments'!$C52,'SPC-CPN_Q&amp;A'!$O:$O,"Recall")</f>
        <v>#REF!</v>
      </c>
      <c r="AE52" s="83" t="e">
        <f>COUNTIFS('SPC-CPN_Q&amp;A'!#REF!,W$1,'SPC-CPN_Q&amp;A'!#REF!,'Writing assignments'!$C52,'SPC-CPN_Q&amp;A'!$O:$O,"Application")</f>
        <v>#REF!</v>
      </c>
      <c r="AF52" s="83" t="e">
        <f>COUNTIFS('SPC-CPN_Q&amp;A'!#REF!,W$1,'SPC-CPN_Q&amp;A'!#REF!,'Writing assignments'!$C52,'SPC-CPN_Q&amp;A'!$O:$O,"Analysis")</f>
        <v>#REF!</v>
      </c>
      <c r="AG52" s="82"/>
      <c r="AK52" s="84"/>
      <c r="AM52" s="83" t="e">
        <f t="shared" si="6"/>
        <v>#REF!</v>
      </c>
      <c r="AN52" s="83" t="e">
        <f>COUNTIFS('SPC-CPN_Q&amp;A'!#REF!,AG$1,'SPC-CPN_Q&amp;A'!#REF!,'Writing assignments'!$C52,'SPC-CPN_Q&amp;A'!$O:$O,"Recall")</f>
        <v>#REF!</v>
      </c>
      <c r="AO52" s="83" t="e">
        <f>COUNTIFS('SPC-CPN_Q&amp;A'!#REF!,AG$1,'SPC-CPN_Q&amp;A'!#REF!,'Writing assignments'!$C52,'SPC-CPN_Q&amp;A'!$O:$O,"Application")</f>
        <v>#REF!</v>
      </c>
      <c r="AP52" s="83" t="e">
        <f>COUNTIFS('SPC-CPN_Q&amp;A'!#REF!,AG$1,'SPC-CPN_Q&amp;A'!#REF!,'Writing assignments'!$C52,'SPC-CPN_Q&amp;A'!$O:$O,"Analysis")</f>
        <v>#REF!</v>
      </c>
      <c r="AQ52" s="82"/>
      <c r="AU52" s="84"/>
      <c r="AV52" s="82" t="s">
        <v>71</v>
      </c>
      <c r="AW52" s="83">
        <v>2</v>
      </c>
      <c r="AX52" s="83">
        <v>0</v>
      </c>
      <c r="AY52" s="83">
        <v>2</v>
      </c>
      <c r="AZ52" s="84">
        <v>0</v>
      </c>
      <c r="BB52" s="83" t="e">
        <f t="shared" si="7"/>
        <v>#REF!</v>
      </c>
      <c r="BC52" s="83" t="e">
        <f>COUNTIFS('SPC-CPN_Q&amp;A'!#REF!,AV$1,'SPC-CPN_Q&amp;A'!#REF!,'Writing assignments'!$C52,'SPC-CPN_Q&amp;A'!$O:$O,"Recall")</f>
        <v>#REF!</v>
      </c>
      <c r="BD52" s="83" t="e">
        <f>COUNTIFS('SPC-CPN_Q&amp;A'!#REF!,AV$1,'SPC-CPN_Q&amp;A'!#REF!,'Writing assignments'!$C52,'SPC-CPN_Q&amp;A'!$O:$O,"Application")</f>
        <v>#REF!</v>
      </c>
      <c r="BE52" s="83" t="e">
        <f>COUNTIFS('SPC-CPN_Q&amp;A'!#REF!,AV$1,'SPC-CPN_Q&amp;A'!#REF!,'Writing assignments'!$C52,'SPC-CPN_Q&amp;A'!$O:$O,"Analysis")</f>
        <v>#REF!</v>
      </c>
      <c r="BF52" s="82"/>
      <c r="BJ52" s="84"/>
      <c r="BL52" s="83" t="e">
        <f t="shared" si="8"/>
        <v>#REF!</v>
      </c>
      <c r="BM52" s="83" t="e">
        <f>COUNTIFS('SPC-CPN_Q&amp;A'!#REF!,BF$1,'SPC-CPN_Q&amp;A'!#REF!,'Writing assignments'!$C52,'SPC-CPN_Q&amp;A'!$O:$O,"Recall")</f>
        <v>#REF!</v>
      </c>
      <c r="BN52" s="83" t="e">
        <f>COUNTIFS('SPC-CPN_Q&amp;A'!#REF!,BF$1,'SPC-CPN_Q&amp;A'!#REF!,'Writing assignments'!$C52,'SPC-CPN_Q&amp;A'!$O:$O,"Application")</f>
        <v>#REF!</v>
      </c>
      <c r="BO52" s="83" t="e">
        <f>COUNTIFS('SPC-CPN_Q&amp;A'!#REF!,BF$1,'SPC-CPN_Q&amp;A'!#REF!,'Writing assignments'!$C52,'SPC-CPN_Q&amp;A'!$O:$O,"Analysis")</f>
        <v>#REF!</v>
      </c>
      <c r="BP52" s="82"/>
      <c r="BT52" s="84"/>
      <c r="BV52" s="83" t="e">
        <f t="shared" si="9"/>
        <v>#REF!</v>
      </c>
      <c r="BW52" s="83" t="e">
        <f>COUNTIFS('SPC-CPN_Q&amp;A'!#REF!,BP$1,'SPC-CPN_Q&amp;A'!#REF!,'Writing assignments'!$C52,'SPC-CPN_Q&amp;A'!$O:$O,"Recall")</f>
        <v>#REF!</v>
      </c>
      <c r="BX52" s="83" t="e">
        <f>COUNTIFS('SPC-CPN_Q&amp;A'!#REF!,BP$1,'SPC-CPN_Q&amp;A'!#REF!,'Writing assignments'!$C52,'SPC-CPN_Q&amp;A'!$O:$O,"Application")</f>
        <v>#REF!</v>
      </c>
      <c r="BY52" s="83" t="e">
        <f>COUNTIFS('SPC-CPN_Q&amp;A'!#REF!,BP$1,'SPC-CPN_Q&amp;A'!#REF!,'Writing assignments'!$C52,'SPC-CPN_Q&amp;A'!$O:$O,"Analysis")</f>
        <v>#REF!</v>
      </c>
      <c r="CA52" s="83">
        <v>0</v>
      </c>
    </row>
    <row r="53" spans="2:79" x14ac:dyDescent="0.25">
      <c r="B53" s="74" t="s">
        <v>3614</v>
      </c>
      <c r="C53" s="74" t="s">
        <v>3626</v>
      </c>
      <c r="D53" s="6"/>
      <c r="E53" s="6">
        <v>0</v>
      </c>
      <c r="F53" s="6">
        <v>1</v>
      </c>
      <c r="G53" s="6">
        <v>1</v>
      </c>
      <c r="H53" s="6">
        <f t="shared" si="2"/>
        <v>2</v>
      </c>
      <c r="J53" s="42">
        <f t="shared" si="10"/>
        <v>0</v>
      </c>
      <c r="K53" s="82"/>
      <c r="L53" s="84">
        <v>0</v>
      </c>
      <c r="M53" s="82"/>
      <c r="N53" s="83">
        <f t="shared" si="3"/>
        <v>0</v>
      </c>
      <c r="Q53" s="84"/>
      <c r="S53" s="83" t="e">
        <f t="shared" si="4"/>
        <v>#REF!</v>
      </c>
      <c r="T53" s="83" t="e">
        <f>COUNTIFS('SPC-CPN_Q&amp;A'!#REF!,M$1,'SPC-CPN_Q&amp;A'!#REF!,'Writing assignments'!$C53,'SPC-CPN_Q&amp;A'!$O:$O,"Recall")</f>
        <v>#REF!</v>
      </c>
      <c r="U53" s="83" t="e">
        <f>COUNTIFS('SPC-CPN_Q&amp;A'!#REF!,M$1,'SPC-CPN_Q&amp;A'!#REF!,'Writing assignments'!$C53,'SPC-CPN_Q&amp;A'!$O:$O,"Application")</f>
        <v>#REF!</v>
      </c>
      <c r="V53" s="84" t="e">
        <f>COUNTIFS('SPC-CPN_Q&amp;A'!#REF!,M$1,'SPC-CPN_Q&amp;A'!#REF!,'Writing assignments'!$C53,'SPC-CPN_Q&amp;A'!$O:$O,"Analysis")</f>
        <v>#REF!</v>
      </c>
      <c r="AA53" s="84"/>
      <c r="AC53" s="83" t="e">
        <f t="shared" si="5"/>
        <v>#REF!</v>
      </c>
      <c r="AD53" s="83" t="e">
        <f>COUNTIFS('SPC-CPN_Q&amp;A'!#REF!,W$1,'SPC-CPN_Q&amp;A'!#REF!,'Writing assignments'!$C53,'SPC-CPN_Q&amp;A'!$O:$O,"Recall")</f>
        <v>#REF!</v>
      </c>
      <c r="AE53" s="83" t="e">
        <f>COUNTIFS('SPC-CPN_Q&amp;A'!#REF!,W$1,'SPC-CPN_Q&amp;A'!#REF!,'Writing assignments'!$C53,'SPC-CPN_Q&amp;A'!$O:$O,"Application")</f>
        <v>#REF!</v>
      </c>
      <c r="AF53" s="83" t="e">
        <f>COUNTIFS('SPC-CPN_Q&amp;A'!#REF!,W$1,'SPC-CPN_Q&amp;A'!#REF!,'Writing assignments'!$C53,'SPC-CPN_Q&amp;A'!$O:$O,"Analysis")</f>
        <v>#REF!</v>
      </c>
      <c r="AG53" s="82"/>
      <c r="AK53" s="84"/>
      <c r="AM53" s="83" t="e">
        <f t="shared" si="6"/>
        <v>#REF!</v>
      </c>
      <c r="AN53" s="83" t="e">
        <f>COUNTIFS('SPC-CPN_Q&amp;A'!#REF!,AG$1,'SPC-CPN_Q&amp;A'!#REF!,'Writing assignments'!$C53,'SPC-CPN_Q&amp;A'!$O:$O,"Recall")</f>
        <v>#REF!</v>
      </c>
      <c r="AO53" s="83" t="e">
        <f>COUNTIFS('SPC-CPN_Q&amp;A'!#REF!,AG$1,'SPC-CPN_Q&amp;A'!#REF!,'Writing assignments'!$C53,'SPC-CPN_Q&amp;A'!$O:$O,"Application")</f>
        <v>#REF!</v>
      </c>
      <c r="AP53" s="83" t="e">
        <f>COUNTIFS('SPC-CPN_Q&amp;A'!#REF!,AG$1,'SPC-CPN_Q&amp;A'!#REF!,'Writing assignments'!$C53,'SPC-CPN_Q&amp;A'!$O:$O,"Analysis")</f>
        <v>#REF!</v>
      </c>
      <c r="AQ53" s="82"/>
      <c r="AU53" s="84"/>
      <c r="AV53" s="82" t="s">
        <v>71</v>
      </c>
      <c r="AW53" s="83">
        <v>2</v>
      </c>
      <c r="AX53" s="83">
        <v>0</v>
      </c>
      <c r="AY53" s="83">
        <v>1</v>
      </c>
      <c r="AZ53" s="84">
        <v>1</v>
      </c>
      <c r="BB53" s="83" t="e">
        <f t="shared" si="7"/>
        <v>#REF!</v>
      </c>
      <c r="BC53" s="83" t="e">
        <f>COUNTIFS('SPC-CPN_Q&amp;A'!#REF!,AV$1,'SPC-CPN_Q&amp;A'!#REF!,'Writing assignments'!$C53,'SPC-CPN_Q&amp;A'!$O:$O,"Recall")</f>
        <v>#REF!</v>
      </c>
      <c r="BD53" s="83" t="e">
        <f>COUNTIFS('SPC-CPN_Q&amp;A'!#REF!,AV$1,'SPC-CPN_Q&amp;A'!#REF!,'Writing assignments'!$C53,'SPC-CPN_Q&amp;A'!$O:$O,"Application")</f>
        <v>#REF!</v>
      </c>
      <c r="BE53" s="83" t="e">
        <f>COUNTIFS('SPC-CPN_Q&amp;A'!#REF!,AV$1,'SPC-CPN_Q&amp;A'!#REF!,'Writing assignments'!$C53,'SPC-CPN_Q&amp;A'!$O:$O,"Analysis")</f>
        <v>#REF!</v>
      </c>
      <c r="BF53" s="82"/>
      <c r="BJ53" s="84"/>
      <c r="BL53" s="83" t="e">
        <f t="shared" si="8"/>
        <v>#REF!</v>
      </c>
      <c r="BM53" s="83" t="e">
        <f>COUNTIFS('SPC-CPN_Q&amp;A'!#REF!,BF$1,'SPC-CPN_Q&amp;A'!#REF!,'Writing assignments'!$C53,'SPC-CPN_Q&amp;A'!$O:$O,"Recall")</f>
        <v>#REF!</v>
      </c>
      <c r="BN53" s="83" t="e">
        <f>COUNTIFS('SPC-CPN_Q&amp;A'!#REF!,BF$1,'SPC-CPN_Q&amp;A'!#REF!,'Writing assignments'!$C53,'SPC-CPN_Q&amp;A'!$O:$O,"Application")</f>
        <v>#REF!</v>
      </c>
      <c r="BO53" s="83" t="e">
        <f>COUNTIFS('SPC-CPN_Q&amp;A'!#REF!,BF$1,'SPC-CPN_Q&amp;A'!#REF!,'Writing assignments'!$C53,'SPC-CPN_Q&amp;A'!$O:$O,"Analysis")</f>
        <v>#REF!</v>
      </c>
      <c r="BP53" s="82"/>
      <c r="BT53" s="84"/>
      <c r="BV53" s="83" t="e">
        <f t="shared" si="9"/>
        <v>#REF!</v>
      </c>
      <c r="BW53" s="83" t="e">
        <f>COUNTIFS('SPC-CPN_Q&amp;A'!#REF!,BP$1,'SPC-CPN_Q&amp;A'!#REF!,'Writing assignments'!$C53,'SPC-CPN_Q&amp;A'!$O:$O,"Recall")</f>
        <v>#REF!</v>
      </c>
      <c r="BX53" s="83" t="e">
        <f>COUNTIFS('SPC-CPN_Q&amp;A'!#REF!,BP$1,'SPC-CPN_Q&amp;A'!#REF!,'Writing assignments'!$C53,'SPC-CPN_Q&amp;A'!$O:$O,"Application")</f>
        <v>#REF!</v>
      </c>
      <c r="BY53" s="83" t="e">
        <f>COUNTIFS('SPC-CPN_Q&amp;A'!#REF!,BP$1,'SPC-CPN_Q&amp;A'!#REF!,'Writing assignments'!$C53,'SPC-CPN_Q&amp;A'!$O:$O,"Analysis")</f>
        <v>#REF!</v>
      </c>
      <c r="CA53" s="83">
        <v>0</v>
      </c>
    </row>
    <row r="54" spans="2:79" x14ac:dyDescent="0.25">
      <c r="B54" s="74" t="s">
        <v>3614</v>
      </c>
      <c r="C54" s="74" t="s">
        <v>3627</v>
      </c>
      <c r="D54" s="6"/>
      <c r="E54" s="6">
        <v>0</v>
      </c>
      <c r="F54" s="6">
        <v>1</v>
      </c>
      <c r="G54" s="6">
        <v>1</v>
      </c>
      <c r="H54" s="6">
        <f t="shared" si="2"/>
        <v>2</v>
      </c>
      <c r="J54" s="42">
        <f t="shared" si="10"/>
        <v>0</v>
      </c>
      <c r="K54" s="82"/>
      <c r="L54" s="84">
        <v>0</v>
      </c>
      <c r="M54" s="82"/>
      <c r="N54" s="83">
        <f t="shared" si="3"/>
        <v>0</v>
      </c>
      <c r="Q54" s="84"/>
      <c r="S54" s="83" t="e">
        <f t="shared" si="4"/>
        <v>#REF!</v>
      </c>
      <c r="T54" s="83" t="e">
        <f>COUNTIFS('SPC-CPN_Q&amp;A'!#REF!,M$1,'SPC-CPN_Q&amp;A'!#REF!,'Writing assignments'!$C54,'SPC-CPN_Q&amp;A'!$O:$O,"Recall")</f>
        <v>#REF!</v>
      </c>
      <c r="U54" s="83" t="e">
        <f>COUNTIFS('SPC-CPN_Q&amp;A'!#REF!,M$1,'SPC-CPN_Q&amp;A'!#REF!,'Writing assignments'!$C54,'SPC-CPN_Q&amp;A'!$O:$O,"Application")</f>
        <v>#REF!</v>
      </c>
      <c r="V54" s="84" t="e">
        <f>COUNTIFS('SPC-CPN_Q&amp;A'!#REF!,M$1,'SPC-CPN_Q&amp;A'!#REF!,'Writing assignments'!$C54,'SPC-CPN_Q&amp;A'!$O:$O,"Analysis")</f>
        <v>#REF!</v>
      </c>
      <c r="AA54" s="84"/>
      <c r="AC54" s="83" t="e">
        <f t="shared" si="5"/>
        <v>#REF!</v>
      </c>
      <c r="AD54" s="83" t="e">
        <f>COUNTIFS('SPC-CPN_Q&amp;A'!#REF!,W$1,'SPC-CPN_Q&amp;A'!#REF!,'Writing assignments'!$C54,'SPC-CPN_Q&amp;A'!$O:$O,"Recall")</f>
        <v>#REF!</v>
      </c>
      <c r="AE54" s="83" t="e">
        <f>COUNTIFS('SPC-CPN_Q&amp;A'!#REF!,W$1,'SPC-CPN_Q&amp;A'!#REF!,'Writing assignments'!$C54,'SPC-CPN_Q&amp;A'!$O:$O,"Application")</f>
        <v>#REF!</v>
      </c>
      <c r="AF54" s="83" t="e">
        <f>COUNTIFS('SPC-CPN_Q&amp;A'!#REF!,W$1,'SPC-CPN_Q&amp;A'!#REF!,'Writing assignments'!$C54,'SPC-CPN_Q&amp;A'!$O:$O,"Analysis")</f>
        <v>#REF!</v>
      </c>
      <c r="AG54" s="82"/>
      <c r="AK54" s="84"/>
      <c r="AM54" s="83" t="e">
        <f t="shared" si="6"/>
        <v>#REF!</v>
      </c>
      <c r="AN54" s="83" t="e">
        <f>COUNTIFS('SPC-CPN_Q&amp;A'!#REF!,AG$1,'SPC-CPN_Q&amp;A'!#REF!,'Writing assignments'!$C54,'SPC-CPN_Q&amp;A'!$O:$O,"Recall")</f>
        <v>#REF!</v>
      </c>
      <c r="AO54" s="83" t="e">
        <f>COUNTIFS('SPC-CPN_Q&amp;A'!#REF!,AG$1,'SPC-CPN_Q&amp;A'!#REF!,'Writing assignments'!$C54,'SPC-CPN_Q&amp;A'!$O:$O,"Application")</f>
        <v>#REF!</v>
      </c>
      <c r="AP54" s="83" t="e">
        <f>COUNTIFS('SPC-CPN_Q&amp;A'!#REF!,AG$1,'SPC-CPN_Q&amp;A'!#REF!,'Writing assignments'!$C54,'SPC-CPN_Q&amp;A'!$O:$O,"Analysis")</f>
        <v>#REF!</v>
      </c>
      <c r="AQ54" s="82"/>
      <c r="AU54" s="84"/>
      <c r="AV54" s="82" t="s">
        <v>71</v>
      </c>
      <c r="AW54" s="83">
        <v>2</v>
      </c>
      <c r="AX54" s="83">
        <v>0</v>
      </c>
      <c r="AY54" s="83">
        <v>1</v>
      </c>
      <c r="AZ54" s="84">
        <v>1</v>
      </c>
      <c r="BB54" s="83" t="e">
        <f t="shared" si="7"/>
        <v>#REF!</v>
      </c>
      <c r="BC54" s="83" t="e">
        <f>COUNTIFS('SPC-CPN_Q&amp;A'!#REF!,AV$1,'SPC-CPN_Q&amp;A'!#REF!,'Writing assignments'!$C54,'SPC-CPN_Q&amp;A'!$O:$O,"Recall")</f>
        <v>#REF!</v>
      </c>
      <c r="BD54" s="83" t="e">
        <f>COUNTIFS('SPC-CPN_Q&amp;A'!#REF!,AV$1,'SPC-CPN_Q&amp;A'!#REF!,'Writing assignments'!$C54,'SPC-CPN_Q&amp;A'!$O:$O,"Application")</f>
        <v>#REF!</v>
      </c>
      <c r="BE54" s="83" t="e">
        <f>COUNTIFS('SPC-CPN_Q&amp;A'!#REF!,AV$1,'SPC-CPN_Q&amp;A'!#REF!,'Writing assignments'!$C54,'SPC-CPN_Q&amp;A'!$O:$O,"Analysis")</f>
        <v>#REF!</v>
      </c>
      <c r="BF54" s="82"/>
      <c r="BJ54" s="84"/>
      <c r="BL54" s="83" t="e">
        <f t="shared" si="8"/>
        <v>#REF!</v>
      </c>
      <c r="BM54" s="83" t="e">
        <f>COUNTIFS('SPC-CPN_Q&amp;A'!#REF!,BF$1,'SPC-CPN_Q&amp;A'!#REF!,'Writing assignments'!$C54,'SPC-CPN_Q&amp;A'!$O:$O,"Recall")</f>
        <v>#REF!</v>
      </c>
      <c r="BN54" s="83" t="e">
        <f>COUNTIFS('SPC-CPN_Q&amp;A'!#REF!,BF$1,'SPC-CPN_Q&amp;A'!#REF!,'Writing assignments'!$C54,'SPC-CPN_Q&amp;A'!$O:$O,"Application")</f>
        <v>#REF!</v>
      </c>
      <c r="BO54" s="83" t="e">
        <f>COUNTIFS('SPC-CPN_Q&amp;A'!#REF!,BF$1,'SPC-CPN_Q&amp;A'!#REF!,'Writing assignments'!$C54,'SPC-CPN_Q&amp;A'!$O:$O,"Analysis")</f>
        <v>#REF!</v>
      </c>
      <c r="BP54" s="82"/>
      <c r="BT54" s="84"/>
      <c r="BV54" s="83" t="e">
        <f t="shared" si="9"/>
        <v>#REF!</v>
      </c>
      <c r="BW54" s="83" t="e">
        <f>COUNTIFS('SPC-CPN_Q&amp;A'!#REF!,BP$1,'SPC-CPN_Q&amp;A'!#REF!,'Writing assignments'!$C54,'SPC-CPN_Q&amp;A'!$O:$O,"Recall")</f>
        <v>#REF!</v>
      </c>
      <c r="BX54" s="83" t="e">
        <f>COUNTIFS('SPC-CPN_Q&amp;A'!#REF!,BP$1,'SPC-CPN_Q&amp;A'!#REF!,'Writing assignments'!$C54,'SPC-CPN_Q&amp;A'!$O:$O,"Application")</f>
        <v>#REF!</v>
      </c>
      <c r="BY54" s="83" t="e">
        <f>COUNTIFS('SPC-CPN_Q&amp;A'!#REF!,BP$1,'SPC-CPN_Q&amp;A'!#REF!,'Writing assignments'!$C54,'SPC-CPN_Q&amp;A'!$O:$O,"Analysis")</f>
        <v>#REF!</v>
      </c>
      <c r="CA54" s="83">
        <v>0</v>
      </c>
    </row>
    <row r="55" spans="2:79" x14ac:dyDescent="0.25">
      <c r="B55" s="74" t="s">
        <v>3614</v>
      </c>
      <c r="C55" s="74" t="s">
        <v>3628</v>
      </c>
      <c r="D55" s="6"/>
      <c r="E55" s="6">
        <v>0</v>
      </c>
      <c r="F55" s="6">
        <v>1</v>
      </c>
      <c r="G55" s="6">
        <v>1</v>
      </c>
      <c r="H55" s="6">
        <f t="shared" si="2"/>
        <v>2</v>
      </c>
      <c r="J55" s="42">
        <f t="shared" si="10"/>
        <v>0</v>
      </c>
      <c r="K55" s="82"/>
      <c r="L55" s="84">
        <v>0</v>
      </c>
      <c r="M55" s="82" t="s">
        <v>71</v>
      </c>
      <c r="N55" s="83">
        <f t="shared" si="3"/>
        <v>2</v>
      </c>
      <c r="P55" s="83">
        <v>2</v>
      </c>
      <c r="S55" s="83" t="e">
        <f t="shared" si="4"/>
        <v>#REF!</v>
      </c>
      <c r="T55" s="83" t="e">
        <f>COUNTIFS('SPC-CPN_Q&amp;A'!#REF!,M$1,'SPC-CPN_Q&amp;A'!#REF!,'Writing assignments'!$C55,'SPC-CPN_Q&amp;A'!$O:$O,"Recall")</f>
        <v>#REF!</v>
      </c>
      <c r="U55" s="83" t="e">
        <f>COUNTIFS('SPC-CPN_Q&amp;A'!#REF!,M$1,'SPC-CPN_Q&amp;A'!#REF!,'Writing assignments'!$C55,'SPC-CPN_Q&amp;A'!$O:$O,"Application")</f>
        <v>#REF!</v>
      </c>
      <c r="V55" s="84" t="e">
        <f>COUNTIFS('SPC-CPN_Q&amp;A'!#REF!,M$1,'SPC-CPN_Q&amp;A'!#REF!,'Writing assignments'!$C55,'SPC-CPN_Q&amp;A'!$O:$O,"Analysis")</f>
        <v>#REF!</v>
      </c>
      <c r="AA55" s="84"/>
      <c r="AC55" s="83" t="e">
        <f t="shared" si="5"/>
        <v>#REF!</v>
      </c>
      <c r="AD55" s="83" t="e">
        <f>COUNTIFS('SPC-CPN_Q&amp;A'!#REF!,W$1,'SPC-CPN_Q&amp;A'!#REF!,'Writing assignments'!$C55,'SPC-CPN_Q&amp;A'!$O:$O,"Recall")</f>
        <v>#REF!</v>
      </c>
      <c r="AE55" s="83" t="e">
        <f>COUNTIFS('SPC-CPN_Q&amp;A'!#REF!,W$1,'SPC-CPN_Q&amp;A'!#REF!,'Writing assignments'!$C55,'SPC-CPN_Q&amp;A'!$O:$O,"Application")</f>
        <v>#REF!</v>
      </c>
      <c r="AF55" s="83" t="e">
        <f>COUNTIFS('SPC-CPN_Q&amp;A'!#REF!,W$1,'SPC-CPN_Q&amp;A'!#REF!,'Writing assignments'!$C55,'SPC-CPN_Q&amp;A'!$O:$O,"Analysis")</f>
        <v>#REF!</v>
      </c>
      <c r="AG55" s="82"/>
      <c r="AK55" s="84"/>
      <c r="AM55" s="83" t="e">
        <f t="shared" si="6"/>
        <v>#REF!</v>
      </c>
      <c r="AN55" s="83" t="e">
        <f>COUNTIFS('SPC-CPN_Q&amp;A'!#REF!,AG$1,'SPC-CPN_Q&amp;A'!#REF!,'Writing assignments'!$C55,'SPC-CPN_Q&amp;A'!$O:$O,"Recall")</f>
        <v>#REF!</v>
      </c>
      <c r="AO55" s="83" t="e">
        <f>COUNTIFS('SPC-CPN_Q&amp;A'!#REF!,AG$1,'SPC-CPN_Q&amp;A'!#REF!,'Writing assignments'!$C55,'SPC-CPN_Q&amp;A'!$O:$O,"Application")</f>
        <v>#REF!</v>
      </c>
      <c r="AP55" s="83" t="e">
        <f>COUNTIFS('SPC-CPN_Q&amp;A'!#REF!,AG$1,'SPC-CPN_Q&amp;A'!#REF!,'Writing assignments'!$C55,'SPC-CPN_Q&amp;A'!$O:$O,"Analysis")</f>
        <v>#REF!</v>
      </c>
      <c r="AQ55" s="82" t="s">
        <v>71</v>
      </c>
      <c r="AR55" s="83">
        <v>2</v>
      </c>
      <c r="AS55" s="83">
        <v>0</v>
      </c>
      <c r="AT55" s="83">
        <v>1</v>
      </c>
      <c r="AU55" s="84">
        <v>1</v>
      </c>
      <c r="BB55" s="83" t="e">
        <f t="shared" si="7"/>
        <v>#REF!</v>
      </c>
      <c r="BC55" s="83" t="e">
        <f>COUNTIFS('SPC-CPN_Q&amp;A'!#REF!,AV$1,'SPC-CPN_Q&amp;A'!#REF!,'Writing assignments'!$C55,'SPC-CPN_Q&amp;A'!$O:$O,"Recall")</f>
        <v>#REF!</v>
      </c>
      <c r="BD55" s="83" t="e">
        <f>COUNTIFS('SPC-CPN_Q&amp;A'!#REF!,AV$1,'SPC-CPN_Q&amp;A'!#REF!,'Writing assignments'!$C55,'SPC-CPN_Q&amp;A'!$O:$O,"Application")</f>
        <v>#REF!</v>
      </c>
      <c r="BE55" s="83" t="e">
        <f>COUNTIFS('SPC-CPN_Q&amp;A'!#REF!,AV$1,'SPC-CPN_Q&amp;A'!#REF!,'Writing assignments'!$C55,'SPC-CPN_Q&amp;A'!$O:$O,"Analysis")</f>
        <v>#REF!</v>
      </c>
      <c r="BF55" s="82"/>
      <c r="BJ55" s="84"/>
      <c r="BL55" s="83" t="e">
        <f t="shared" si="8"/>
        <v>#REF!</v>
      </c>
      <c r="BM55" s="83" t="e">
        <f>COUNTIFS('SPC-CPN_Q&amp;A'!#REF!,BF$1,'SPC-CPN_Q&amp;A'!#REF!,'Writing assignments'!$C55,'SPC-CPN_Q&amp;A'!$O:$O,"Recall")</f>
        <v>#REF!</v>
      </c>
      <c r="BN55" s="83" t="e">
        <f>COUNTIFS('SPC-CPN_Q&amp;A'!#REF!,BF$1,'SPC-CPN_Q&amp;A'!#REF!,'Writing assignments'!$C55,'SPC-CPN_Q&amp;A'!$O:$O,"Application")</f>
        <v>#REF!</v>
      </c>
      <c r="BO55" s="83" t="e">
        <f>COUNTIFS('SPC-CPN_Q&amp;A'!#REF!,BF$1,'SPC-CPN_Q&amp;A'!#REF!,'Writing assignments'!$C55,'SPC-CPN_Q&amp;A'!$O:$O,"Analysis")</f>
        <v>#REF!</v>
      </c>
      <c r="BP55" s="82"/>
      <c r="BT55" s="84"/>
      <c r="BV55" s="83" t="e">
        <f t="shared" si="9"/>
        <v>#REF!</v>
      </c>
      <c r="BW55" s="83" t="e">
        <f>COUNTIFS('SPC-CPN_Q&amp;A'!#REF!,BP$1,'SPC-CPN_Q&amp;A'!#REF!,'Writing assignments'!$C55,'SPC-CPN_Q&amp;A'!$O:$O,"Recall")</f>
        <v>#REF!</v>
      </c>
      <c r="BX55" s="83" t="e">
        <f>COUNTIFS('SPC-CPN_Q&amp;A'!#REF!,BP$1,'SPC-CPN_Q&amp;A'!#REF!,'Writing assignments'!$C55,'SPC-CPN_Q&amp;A'!$O:$O,"Application")</f>
        <v>#REF!</v>
      </c>
      <c r="BY55" s="83" t="e">
        <f>COUNTIFS('SPC-CPN_Q&amp;A'!#REF!,BP$1,'SPC-CPN_Q&amp;A'!#REF!,'Writing assignments'!$C55,'SPC-CPN_Q&amp;A'!$O:$O,"Analysis")</f>
        <v>#REF!</v>
      </c>
      <c r="CA55" s="83">
        <v>0</v>
      </c>
    </row>
    <row r="56" spans="2:79" x14ac:dyDescent="0.25">
      <c r="B56" s="74" t="s">
        <v>3614</v>
      </c>
      <c r="C56" s="74" t="s">
        <v>3629</v>
      </c>
      <c r="D56" s="6"/>
      <c r="E56" s="6">
        <v>0</v>
      </c>
      <c r="F56" s="6">
        <v>1</v>
      </c>
      <c r="G56" s="6">
        <v>0</v>
      </c>
      <c r="H56" s="6">
        <f t="shared" si="2"/>
        <v>1</v>
      </c>
      <c r="J56" s="42">
        <f t="shared" si="10"/>
        <v>0</v>
      </c>
      <c r="K56" s="82"/>
      <c r="L56" s="84">
        <v>0</v>
      </c>
      <c r="M56" s="82"/>
      <c r="N56" s="83">
        <f t="shared" si="3"/>
        <v>0</v>
      </c>
      <c r="S56" s="83" t="e">
        <f t="shared" si="4"/>
        <v>#REF!</v>
      </c>
      <c r="T56" s="83" t="e">
        <f>COUNTIFS('SPC-CPN_Q&amp;A'!#REF!,M$1,'SPC-CPN_Q&amp;A'!#REF!,'Writing assignments'!$C56,'SPC-CPN_Q&amp;A'!$O:$O,"Recall")</f>
        <v>#REF!</v>
      </c>
      <c r="U56" s="83" t="e">
        <f>COUNTIFS('SPC-CPN_Q&amp;A'!#REF!,M$1,'SPC-CPN_Q&amp;A'!#REF!,'Writing assignments'!$C56,'SPC-CPN_Q&amp;A'!$O:$O,"Application")</f>
        <v>#REF!</v>
      </c>
      <c r="V56" s="84" t="e">
        <f>COUNTIFS('SPC-CPN_Q&amp;A'!#REF!,M$1,'SPC-CPN_Q&amp;A'!#REF!,'Writing assignments'!$C56,'SPC-CPN_Q&amp;A'!$O:$O,"Analysis")</f>
        <v>#REF!</v>
      </c>
      <c r="W56" s="83" t="s">
        <v>71</v>
      </c>
      <c r="X56" s="83">
        <v>1</v>
      </c>
      <c r="Y56" s="83">
        <v>0</v>
      </c>
      <c r="Z56" s="83">
        <v>1</v>
      </c>
      <c r="AA56" s="84">
        <v>0</v>
      </c>
      <c r="AC56" s="83" t="e">
        <f t="shared" si="5"/>
        <v>#REF!</v>
      </c>
      <c r="AD56" s="83" t="e">
        <f>COUNTIFS('SPC-CPN_Q&amp;A'!#REF!,W$1,'SPC-CPN_Q&amp;A'!#REF!,'Writing assignments'!$C56,'SPC-CPN_Q&amp;A'!$O:$O,"Recall")</f>
        <v>#REF!</v>
      </c>
      <c r="AE56" s="83" t="e">
        <f>COUNTIFS('SPC-CPN_Q&amp;A'!#REF!,W$1,'SPC-CPN_Q&amp;A'!#REF!,'Writing assignments'!$C56,'SPC-CPN_Q&amp;A'!$O:$O,"Application")</f>
        <v>#REF!</v>
      </c>
      <c r="AF56" s="83" t="e">
        <f>COUNTIFS('SPC-CPN_Q&amp;A'!#REF!,W$1,'SPC-CPN_Q&amp;A'!#REF!,'Writing assignments'!$C56,'SPC-CPN_Q&amp;A'!$O:$O,"Analysis")</f>
        <v>#REF!</v>
      </c>
      <c r="AG56" s="82"/>
      <c r="AK56" s="84"/>
      <c r="AM56" s="83" t="e">
        <f t="shared" si="6"/>
        <v>#REF!</v>
      </c>
      <c r="AN56" s="83" t="e">
        <f>COUNTIFS('SPC-CPN_Q&amp;A'!#REF!,AG$1,'SPC-CPN_Q&amp;A'!#REF!,'Writing assignments'!$C56,'SPC-CPN_Q&amp;A'!$O:$O,"Recall")</f>
        <v>#REF!</v>
      </c>
      <c r="AO56" s="83" t="e">
        <f>COUNTIFS('SPC-CPN_Q&amp;A'!#REF!,AG$1,'SPC-CPN_Q&amp;A'!#REF!,'Writing assignments'!$C56,'SPC-CPN_Q&amp;A'!$O:$O,"Application")</f>
        <v>#REF!</v>
      </c>
      <c r="AP56" s="83" t="e">
        <f>COUNTIFS('SPC-CPN_Q&amp;A'!#REF!,AG$1,'SPC-CPN_Q&amp;A'!#REF!,'Writing assignments'!$C56,'SPC-CPN_Q&amp;A'!$O:$O,"Analysis")</f>
        <v>#REF!</v>
      </c>
      <c r="AQ56" s="82"/>
      <c r="AR56" s="83">
        <v>0</v>
      </c>
      <c r="AU56" s="84"/>
      <c r="BB56" s="83" t="e">
        <f t="shared" si="7"/>
        <v>#REF!</v>
      </c>
      <c r="BC56" s="83" t="e">
        <f>COUNTIFS('SPC-CPN_Q&amp;A'!#REF!,AV$1,'SPC-CPN_Q&amp;A'!#REF!,'Writing assignments'!$C56,'SPC-CPN_Q&amp;A'!$O:$O,"Recall")</f>
        <v>#REF!</v>
      </c>
      <c r="BD56" s="83" t="e">
        <f>COUNTIFS('SPC-CPN_Q&amp;A'!#REF!,AV$1,'SPC-CPN_Q&amp;A'!#REF!,'Writing assignments'!$C56,'SPC-CPN_Q&amp;A'!$O:$O,"Application")</f>
        <v>#REF!</v>
      </c>
      <c r="BE56" s="83" t="e">
        <f>COUNTIFS('SPC-CPN_Q&amp;A'!#REF!,AV$1,'SPC-CPN_Q&amp;A'!#REF!,'Writing assignments'!$C56,'SPC-CPN_Q&amp;A'!$O:$O,"Analysis")</f>
        <v>#REF!</v>
      </c>
      <c r="BF56" s="82"/>
      <c r="BJ56" s="84"/>
      <c r="BL56" s="83" t="e">
        <f t="shared" si="8"/>
        <v>#REF!</v>
      </c>
      <c r="BM56" s="83" t="e">
        <f>COUNTIFS('SPC-CPN_Q&amp;A'!#REF!,BF$1,'SPC-CPN_Q&amp;A'!#REF!,'Writing assignments'!$C56,'SPC-CPN_Q&amp;A'!$O:$O,"Recall")</f>
        <v>#REF!</v>
      </c>
      <c r="BN56" s="83" t="e">
        <f>COUNTIFS('SPC-CPN_Q&amp;A'!#REF!,BF$1,'SPC-CPN_Q&amp;A'!#REF!,'Writing assignments'!$C56,'SPC-CPN_Q&amp;A'!$O:$O,"Application")</f>
        <v>#REF!</v>
      </c>
      <c r="BO56" s="83" t="e">
        <f>COUNTIFS('SPC-CPN_Q&amp;A'!#REF!,BF$1,'SPC-CPN_Q&amp;A'!#REF!,'Writing assignments'!$C56,'SPC-CPN_Q&amp;A'!$O:$O,"Analysis")</f>
        <v>#REF!</v>
      </c>
      <c r="BP56" s="82"/>
      <c r="BT56" s="84"/>
      <c r="BV56" s="83" t="e">
        <f t="shared" si="9"/>
        <v>#REF!</v>
      </c>
      <c r="BW56" s="83" t="e">
        <f>COUNTIFS('SPC-CPN_Q&amp;A'!#REF!,BP$1,'SPC-CPN_Q&amp;A'!#REF!,'Writing assignments'!$C56,'SPC-CPN_Q&amp;A'!$O:$O,"Recall")</f>
        <v>#REF!</v>
      </c>
      <c r="BX56" s="83" t="e">
        <f>COUNTIFS('SPC-CPN_Q&amp;A'!#REF!,BP$1,'SPC-CPN_Q&amp;A'!#REF!,'Writing assignments'!$C56,'SPC-CPN_Q&amp;A'!$O:$O,"Application")</f>
        <v>#REF!</v>
      </c>
      <c r="BY56" s="83" t="e">
        <f>COUNTIFS('SPC-CPN_Q&amp;A'!#REF!,BP$1,'SPC-CPN_Q&amp;A'!#REF!,'Writing assignments'!$C56,'SPC-CPN_Q&amp;A'!$O:$O,"Analysis")</f>
        <v>#REF!</v>
      </c>
      <c r="CA56" s="83">
        <v>0</v>
      </c>
    </row>
    <row r="57" spans="2:79" x14ac:dyDescent="0.25">
      <c r="B57" s="74" t="s">
        <v>3614</v>
      </c>
      <c r="C57" s="74" t="s">
        <v>3630</v>
      </c>
      <c r="D57" s="6"/>
      <c r="E57" s="6">
        <v>0</v>
      </c>
      <c r="F57" s="6">
        <v>2</v>
      </c>
      <c r="G57" s="6">
        <v>0</v>
      </c>
      <c r="H57" s="6">
        <f t="shared" si="2"/>
        <v>2</v>
      </c>
      <c r="J57" s="42">
        <f t="shared" si="10"/>
        <v>0</v>
      </c>
      <c r="K57" s="82"/>
      <c r="L57" s="84">
        <v>0</v>
      </c>
      <c r="M57" s="82"/>
      <c r="N57" s="83">
        <f t="shared" si="3"/>
        <v>0</v>
      </c>
      <c r="S57" s="83" t="e">
        <f t="shared" si="4"/>
        <v>#REF!</v>
      </c>
      <c r="T57" s="83" t="e">
        <f>COUNTIFS('SPC-CPN_Q&amp;A'!#REF!,M$1,'SPC-CPN_Q&amp;A'!#REF!,'Writing assignments'!$C57,'SPC-CPN_Q&amp;A'!$O:$O,"Recall")</f>
        <v>#REF!</v>
      </c>
      <c r="U57" s="83" t="e">
        <f>COUNTIFS('SPC-CPN_Q&amp;A'!#REF!,M$1,'SPC-CPN_Q&amp;A'!#REF!,'Writing assignments'!$C57,'SPC-CPN_Q&amp;A'!$O:$O,"Application")</f>
        <v>#REF!</v>
      </c>
      <c r="V57" s="84" t="e">
        <f>COUNTIFS('SPC-CPN_Q&amp;A'!#REF!,M$1,'SPC-CPN_Q&amp;A'!#REF!,'Writing assignments'!$C57,'SPC-CPN_Q&amp;A'!$O:$O,"Analysis")</f>
        <v>#REF!</v>
      </c>
      <c r="W57" s="83" t="s">
        <v>71</v>
      </c>
      <c r="X57" s="83">
        <v>2</v>
      </c>
      <c r="Y57" s="83">
        <v>0</v>
      </c>
      <c r="Z57" s="83">
        <v>2</v>
      </c>
      <c r="AA57" s="84">
        <v>0</v>
      </c>
      <c r="AC57" s="83" t="e">
        <f t="shared" si="5"/>
        <v>#REF!</v>
      </c>
      <c r="AD57" s="83" t="e">
        <f>COUNTIFS('SPC-CPN_Q&amp;A'!#REF!,W$1,'SPC-CPN_Q&amp;A'!#REF!,'Writing assignments'!$C57,'SPC-CPN_Q&amp;A'!$O:$O,"Recall")</f>
        <v>#REF!</v>
      </c>
      <c r="AE57" s="83" t="e">
        <f>COUNTIFS('SPC-CPN_Q&amp;A'!#REF!,W$1,'SPC-CPN_Q&amp;A'!#REF!,'Writing assignments'!$C57,'SPC-CPN_Q&amp;A'!$O:$O,"Application")</f>
        <v>#REF!</v>
      </c>
      <c r="AF57" s="83" t="e">
        <f>COUNTIFS('SPC-CPN_Q&amp;A'!#REF!,W$1,'SPC-CPN_Q&amp;A'!#REF!,'Writing assignments'!$C57,'SPC-CPN_Q&amp;A'!$O:$O,"Analysis")</f>
        <v>#REF!</v>
      </c>
      <c r="AG57" s="82"/>
      <c r="AK57" s="84"/>
      <c r="AM57" s="83" t="e">
        <f t="shared" si="6"/>
        <v>#REF!</v>
      </c>
      <c r="AN57" s="83" t="e">
        <f>COUNTIFS('SPC-CPN_Q&amp;A'!#REF!,AG$1,'SPC-CPN_Q&amp;A'!#REF!,'Writing assignments'!$C57,'SPC-CPN_Q&amp;A'!$O:$O,"Recall")</f>
        <v>#REF!</v>
      </c>
      <c r="AO57" s="83" t="e">
        <f>COUNTIFS('SPC-CPN_Q&amp;A'!#REF!,AG$1,'SPC-CPN_Q&amp;A'!#REF!,'Writing assignments'!$C57,'SPC-CPN_Q&amp;A'!$O:$O,"Application")</f>
        <v>#REF!</v>
      </c>
      <c r="AP57" s="83" t="e">
        <f>COUNTIFS('SPC-CPN_Q&amp;A'!#REF!,AG$1,'SPC-CPN_Q&amp;A'!#REF!,'Writing assignments'!$C57,'SPC-CPN_Q&amp;A'!$O:$O,"Analysis")</f>
        <v>#REF!</v>
      </c>
      <c r="AQ57" s="82"/>
      <c r="AR57" s="83">
        <v>0</v>
      </c>
      <c r="AU57" s="84"/>
      <c r="BB57" s="83" t="e">
        <f t="shared" si="7"/>
        <v>#REF!</v>
      </c>
      <c r="BC57" s="83" t="e">
        <f>COUNTIFS('SPC-CPN_Q&amp;A'!#REF!,AV$1,'SPC-CPN_Q&amp;A'!#REF!,'Writing assignments'!$C57,'SPC-CPN_Q&amp;A'!$O:$O,"Recall")</f>
        <v>#REF!</v>
      </c>
      <c r="BD57" s="83" t="e">
        <f>COUNTIFS('SPC-CPN_Q&amp;A'!#REF!,AV$1,'SPC-CPN_Q&amp;A'!#REF!,'Writing assignments'!$C57,'SPC-CPN_Q&amp;A'!$O:$O,"Application")</f>
        <v>#REF!</v>
      </c>
      <c r="BE57" s="83" t="e">
        <f>COUNTIFS('SPC-CPN_Q&amp;A'!#REF!,AV$1,'SPC-CPN_Q&amp;A'!#REF!,'Writing assignments'!$C57,'SPC-CPN_Q&amp;A'!$O:$O,"Analysis")</f>
        <v>#REF!</v>
      </c>
      <c r="BF57" s="82"/>
      <c r="BJ57" s="84"/>
      <c r="BL57" s="83" t="e">
        <f t="shared" si="8"/>
        <v>#REF!</v>
      </c>
      <c r="BM57" s="83" t="e">
        <f>COUNTIFS('SPC-CPN_Q&amp;A'!#REF!,BF$1,'SPC-CPN_Q&amp;A'!#REF!,'Writing assignments'!$C57,'SPC-CPN_Q&amp;A'!$O:$O,"Recall")</f>
        <v>#REF!</v>
      </c>
      <c r="BN57" s="83" t="e">
        <f>COUNTIFS('SPC-CPN_Q&amp;A'!#REF!,BF$1,'SPC-CPN_Q&amp;A'!#REF!,'Writing assignments'!$C57,'SPC-CPN_Q&amp;A'!$O:$O,"Application")</f>
        <v>#REF!</v>
      </c>
      <c r="BO57" s="83" t="e">
        <f>COUNTIFS('SPC-CPN_Q&amp;A'!#REF!,BF$1,'SPC-CPN_Q&amp;A'!#REF!,'Writing assignments'!$C57,'SPC-CPN_Q&amp;A'!$O:$O,"Analysis")</f>
        <v>#REF!</v>
      </c>
      <c r="BP57" s="82"/>
      <c r="BT57" s="84"/>
      <c r="BV57" s="83" t="e">
        <f t="shared" si="9"/>
        <v>#REF!</v>
      </c>
      <c r="BW57" s="83" t="e">
        <f>COUNTIFS('SPC-CPN_Q&amp;A'!#REF!,BP$1,'SPC-CPN_Q&amp;A'!#REF!,'Writing assignments'!$C57,'SPC-CPN_Q&amp;A'!$O:$O,"Recall")</f>
        <v>#REF!</v>
      </c>
      <c r="BX57" s="83" t="e">
        <f>COUNTIFS('SPC-CPN_Q&amp;A'!#REF!,BP$1,'SPC-CPN_Q&amp;A'!#REF!,'Writing assignments'!$C57,'SPC-CPN_Q&amp;A'!$O:$O,"Application")</f>
        <v>#REF!</v>
      </c>
      <c r="BY57" s="83" t="e">
        <f>COUNTIFS('SPC-CPN_Q&amp;A'!#REF!,BP$1,'SPC-CPN_Q&amp;A'!#REF!,'Writing assignments'!$C57,'SPC-CPN_Q&amp;A'!$O:$O,"Analysis")</f>
        <v>#REF!</v>
      </c>
      <c r="CA57" s="83">
        <v>0</v>
      </c>
    </row>
    <row r="58" spans="2:79" x14ac:dyDescent="0.25">
      <c r="B58" s="74" t="s">
        <v>3614</v>
      </c>
      <c r="C58" s="74" t="s">
        <v>3631</v>
      </c>
      <c r="D58" s="6"/>
      <c r="E58" s="6">
        <v>0</v>
      </c>
      <c r="F58" s="6">
        <v>1</v>
      </c>
      <c r="G58" s="6">
        <v>1</v>
      </c>
      <c r="H58" s="6">
        <f t="shared" si="2"/>
        <v>2</v>
      </c>
      <c r="J58" s="42">
        <f t="shared" si="10"/>
        <v>0</v>
      </c>
      <c r="K58" s="82"/>
      <c r="L58" s="84">
        <v>0</v>
      </c>
      <c r="M58" s="82"/>
      <c r="N58" s="83">
        <f t="shared" si="3"/>
        <v>0</v>
      </c>
      <c r="S58" s="83" t="e">
        <f t="shared" si="4"/>
        <v>#REF!</v>
      </c>
      <c r="T58" s="83" t="e">
        <f>COUNTIFS('SPC-CPN_Q&amp;A'!#REF!,M$1,'SPC-CPN_Q&amp;A'!#REF!,'Writing assignments'!$C58,'SPC-CPN_Q&amp;A'!$O:$O,"Recall")</f>
        <v>#REF!</v>
      </c>
      <c r="U58" s="83" t="e">
        <f>COUNTIFS('SPC-CPN_Q&amp;A'!#REF!,M$1,'SPC-CPN_Q&amp;A'!#REF!,'Writing assignments'!$C58,'SPC-CPN_Q&amp;A'!$O:$O,"Application")</f>
        <v>#REF!</v>
      </c>
      <c r="V58" s="84" t="e">
        <f>COUNTIFS('SPC-CPN_Q&amp;A'!#REF!,M$1,'SPC-CPN_Q&amp;A'!#REF!,'Writing assignments'!$C58,'SPC-CPN_Q&amp;A'!$O:$O,"Analysis")</f>
        <v>#REF!</v>
      </c>
      <c r="W58" s="83" t="s">
        <v>71</v>
      </c>
      <c r="X58" s="83">
        <v>2</v>
      </c>
      <c r="Y58" s="83">
        <v>0</v>
      </c>
      <c r="Z58" s="83">
        <v>1</v>
      </c>
      <c r="AA58" s="84">
        <v>1</v>
      </c>
      <c r="AC58" s="83" t="e">
        <f t="shared" si="5"/>
        <v>#REF!</v>
      </c>
      <c r="AD58" s="83" t="e">
        <f>COUNTIFS('SPC-CPN_Q&amp;A'!#REF!,W$1,'SPC-CPN_Q&amp;A'!#REF!,'Writing assignments'!$C58,'SPC-CPN_Q&amp;A'!$O:$O,"Recall")</f>
        <v>#REF!</v>
      </c>
      <c r="AE58" s="83" t="e">
        <f>COUNTIFS('SPC-CPN_Q&amp;A'!#REF!,W$1,'SPC-CPN_Q&amp;A'!#REF!,'Writing assignments'!$C58,'SPC-CPN_Q&amp;A'!$O:$O,"Application")</f>
        <v>#REF!</v>
      </c>
      <c r="AF58" s="83" t="e">
        <f>COUNTIFS('SPC-CPN_Q&amp;A'!#REF!,W$1,'SPC-CPN_Q&amp;A'!#REF!,'Writing assignments'!$C58,'SPC-CPN_Q&amp;A'!$O:$O,"Analysis")</f>
        <v>#REF!</v>
      </c>
      <c r="AG58" s="82"/>
      <c r="AK58" s="84"/>
      <c r="AM58" s="83" t="e">
        <f t="shared" si="6"/>
        <v>#REF!</v>
      </c>
      <c r="AN58" s="83" t="e">
        <f>COUNTIFS('SPC-CPN_Q&amp;A'!#REF!,AG$1,'SPC-CPN_Q&amp;A'!#REF!,'Writing assignments'!$C58,'SPC-CPN_Q&amp;A'!$O:$O,"Recall")</f>
        <v>#REF!</v>
      </c>
      <c r="AO58" s="83" t="e">
        <f>COUNTIFS('SPC-CPN_Q&amp;A'!#REF!,AG$1,'SPC-CPN_Q&amp;A'!#REF!,'Writing assignments'!$C58,'SPC-CPN_Q&amp;A'!$O:$O,"Application")</f>
        <v>#REF!</v>
      </c>
      <c r="AP58" s="83" t="e">
        <f>COUNTIFS('SPC-CPN_Q&amp;A'!#REF!,AG$1,'SPC-CPN_Q&amp;A'!#REF!,'Writing assignments'!$C58,'SPC-CPN_Q&amp;A'!$O:$O,"Analysis")</f>
        <v>#REF!</v>
      </c>
      <c r="AQ58" s="82"/>
      <c r="AR58" s="83">
        <v>0</v>
      </c>
      <c r="AU58" s="84"/>
      <c r="BB58" s="83" t="e">
        <f t="shared" si="7"/>
        <v>#REF!</v>
      </c>
      <c r="BC58" s="83" t="e">
        <f>COUNTIFS('SPC-CPN_Q&amp;A'!#REF!,AV$1,'SPC-CPN_Q&amp;A'!#REF!,'Writing assignments'!$C58,'SPC-CPN_Q&amp;A'!$O:$O,"Recall")</f>
        <v>#REF!</v>
      </c>
      <c r="BD58" s="83" t="e">
        <f>COUNTIFS('SPC-CPN_Q&amp;A'!#REF!,AV$1,'SPC-CPN_Q&amp;A'!#REF!,'Writing assignments'!$C58,'SPC-CPN_Q&amp;A'!$O:$O,"Application")</f>
        <v>#REF!</v>
      </c>
      <c r="BE58" s="83" t="e">
        <f>COUNTIFS('SPC-CPN_Q&amp;A'!#REF!,AV$1,'SPC-CPN_Q&amp;A'!#REF!,'Writing assignments'!$C58,'SPC-CPN_Q&amp;A'!$O:$O,"Analysis")</f>
        <v>#REF!</v>
      </c>
      <c r="BF58" s="82"/>
      <c r="BJ58" s="84"/>
      <c r="BL58" s="83" t="e">
        <f t="shared" si="8"/>
        <v>#REF!</v>
      </c>
      <c r="BM58" s="83" t="e">
        <f>COUNTIFS('SPC-CPN_Q&amp;A'!#REF!,BF$1,'SPC-CPN_Q&amp;A'!#REF!,'Writing assignments'!$C58,'SPC-CPN_Q&amp;A'!$O:$O,"Recall")</f>
        <v>#REF!</v>
      </c>
      <c r="BN58" s="83" t="e">
        <f>COUNTIFS('SPC-CPN_Q&amp;A'!#REF!,BF$1,'SPC-CPN_Q&amp;A'!#REF!,'Writing assignments'!$C58,'SPC-CPN_Q&amp;A'!$O:$O,"Application")</f>
        <v>#REF!</v>
      </c>
      <c r="BO58" s="83" t="e">
        <f>COUNTIFS('SPC-CPN_Q&amp;A'!#REF!,BF$1,'SPC-CPN_Q&amp;A'!#REF!,'Writing assignments'!$C58,'SPC-CPN_Q&amp;A'!$O:$O,"Analysis")</f>
        <v>#REF!</v>
      </c>
      <c r="BP58" s="82"/>
      <c r="BT58" s="84"/>
      <c r="BV58" s="83" t="e">
        <f t="shared" si="9"/>
        <v>#REF!</v>
      </c>
      <c r="BW58" s="83" t="e">
        <f>COUNTIFS('SPC-CPN_Q&amp;A'!#REF!,BP$1,'SPC-CPN_Q&amp;A'!#REF!,'Writing assignments'!$C58,'SPC-CPN_Q&amp;A'!$O:$O,"Recall")</f>
        <v>#REF!</v>
      </c>
      <c r="BX58" s="83" t="e">
        <f>COUNTIFS('SPC-CPN_Q&amp;A'!#REF!,BP$1,'SPC-CPN_Q&amp;A'!#REF!,'Writing assignments'!$C58,'SPC-CPN_Q&amp;A'!$O:$O,"Application")</f>
        <v>#REF!</v>
      </c>
      <c r="BY58" s="83" t="e">
        <f>COUNTIFS('SPC-CPN_Q&amp;A'!#REF!,BP$1,'SPC-CPN_Q&amp;A'!#REF!,'Writing assignments'!$C58,'SPC-CPN_Q&amp;A'!$O:$O,"Analysis")</f>
        <v>#REF!</v>
      </c>
      <c r="CA58" s="83">
        <v>0</v>
      </c>
    </row>
    <row r="59" spans="2:79" x14ac:dyDescent="0.25">
      <c r="B59" s="74" t="s">
        <v>3614</v>
      </c>
      <c r="C59" s="74" t="s">
        <v>3632</v>
      </c>
      <c r="D59" s="6"/>
      <c r="E59" s="6">
        <v>0</v>
      </c>
      <c r="F59" s="6">
        <v>1</v>
      </c>
      <c r="G59" s="6">
        <v>1</v>
      </c>
      <c r="H59" s="6">
        <f t="shared" si="2"/>
        <v>2</v>
      </c>
      <c r="J59" s="42">
        <f t="shared" si="10"/>
        <v>0</v>
      </c>
      <c r="K59" s="82"/>
      <c r="L59" s="84">
        <v>0</v>
      </c>
      <c r="M59" s="82"/>
      <c r="N59" s="83">
        <f t="shared" si="3"/>
        <v>0</v>
      </c>
      <c r="S59" s="83" t="e">
        <f t="shared" si="4"/>
        <v>#REF!</v>
      </c>
      <c r="T59" s="83" t="e">
        <f>COUNTIFS('SPC-CPN_Q&amp;A'!#REF!,M$1,'SPC-CPN_Q&amp;A'!#REF!,'Writing assignments'!$C59,'SPC-CPN_Q&amp;A'!$O:$O,"Recall")</f>
        <v>#REF!</v>
      </c>
      <c r="U59" s="83" t="e">
        <f>COUNTIFS('SPC-CPN_Q&amp;A'!#REF!,M$1,'SPC-CPN_Q&amp;A'!#REF!,'Writing assignments'!$C59,'SPC-CPN_Q&amp;A'!$O:$O,"Application")</f>
        <v>#REF!</v>
      </c>
      <c r="V59" s="84" t="e">
        <f>COUNTIFS('SPC-CPN_Q&amp;A'!#REF!,M$1,'SPC-CPN_Q&amp;A'!#REF!,'Writing assignments'!$C59,'SPC-CPN_Q&amp;A'!$O:$O,"Analysis")</f>
        <v>#REF!</v>
      </c>
      <c r="W59" s="83" t="s">
        <v>71</v>
      </c>
      <c r="X59" s="83">
        <v>2</v>
      </c>
      <c r="Y59" s="83">
        <v>0</v>
      </c>
      <c r="Z59" s="83">
        <v>1</v>
      </c>
      <c r="AA59" s="84">
        <v>1</v>
      </c>
      <c r="AC59" s="83" t="e">
        <f t="shared" si="5"/>
        <v>#REF!</v>
      </c>
      <c r="AD59" s="83" t="e">
        <f>COUNTIFS('SPC-CPN_Q&amp;A'!#REF!,W$1,'SPC-CPN_Q&amp;A'!#REF!,'Writing assignments'!$C59,'SPC-CPN_Q&amp;A'!$O:$O,"Recall")</f>
        <v>#REF!</v>
      </c>
      <c r="AE59" s="83" t="e">
        <f>COUNTIFS('SPC-CPN_Q&amp;A'!#REF!,W$1,'SPC-CPN_Q&amp;A'!#REF!,'Writing assignments'!$C59,'SPC-CPN_Q&amp;A'!$O:$O,"Application")</f>
        <v>#REF!</v>
      </c>
      <c r="AF59" s="83" t="e">
        <f>COUNTIFS('SPC-CPN_Q&amp;A'!#REF!,W$1,'SPC-CPN_Q&amp;A'!#REF!,'Writing assignments'!$C59,'SPC-CPN_Q&amp;A'!$O:$O,"Analysis")</f>
        <v>#REF!</v>
      </c>
      <c r="AG59" s="82"/>
      <c r="AK59" s="84"/>
      <c r="AM59" s="83" t="e">
        <f t="shared" si="6"/>
        <v>#REF!</v>
      </c>
      <c r="AN59" s="83" t="e">
        <f>COUNTIFS('SPC-CPN_Q&amp;A'!#REF!,AG$1,'SPC-CPN_Q&amp;A'!#REF!,'Writing assignments'!$C59,'SPC-CPN_Q&amp;A'!$O:$O,"Recall")</f>
        <v>#REF!</v>
      </c>
      <c r="AO59" s="83" t="e">
        <f>COUNTIFS('SPC-CPN_Q&amp;A'!#REF!,AG$1,'SPC-CPN_Q&amp;A'!#REF!,'Writing assignments'!$C59,'SPC-CPN_Q&amp;A'!$O:$O,"Application")</f>
        <v>#REF!</v>
      </c>
      <c r="AP59" s="83" t="e">
        <f>COUNTIFS('SPC-CPN_Q&amp;A'!#REF!,AG$1,'SPC-CPN_Q&amp;A'!#REF!,'Writing assignments'!$C59,'SPC-CPN_Q&amp;A'!$O:$O,"Analysis")</f>
        <v>#REF!</v>
      </c>
      <c r="AQ59" s="82"/>
      <c r="AR59" s="83">
        <v>0</v>
      </c>
      <c r="AU59" s="84"/>
      <c r="BB59" s="83" t="e">
        <f t="shared" si="7"/>
        <v>#REF!</v>
      </c>
      <c r="BC59" s="83" t="e">
        <f>COUNTIFS('SPC-CPN_Q&amp;A'!#REF!,AV$1,'SPC-CPN_Q&amp;A'!#REF!,'Writing assignments'!$C59,'SPC-CPN_Q&amp;A'!$O:$O,"Recall")</f>
        <v>#REF!</v>
      </c>
      <c r="BD59" s="83" t="e">
        <f>COUNTIFS('SPC-CPN_Q&amp;A'!#REF!,AV$1,'SPC-CPN_Q&amp;A'!#REF!,'Writing assignments'!$C59,'SPC-CPN_Q&amp;A'!$O:$O,"Application")</f>
        <v>#REF!</v>
      </c>
      <c r="BE59" s="83" t="e">
        <f>COUNTIFS('SPC-CPN_Q&amp;A'!#REF!,AV$1,'SPC-CPN_Q&amp;A'!#REF!,'Writing assignments'!$C59,'SPC-CPN_Q&amp;A'!$O:$O,"Analysis")</f>
        <v>#REF!</v>
      </c>
      <c r="BF59" s="82"/>
      <c r="BJ59" s="84"/>
      <c r="BL59" s="83" t="e">
        <f t="shared" si="8"/>
        <v>#REF!</v>
      </c>
      <c r="BM59" s="83" t="e">
        <f>COUNTIFS('SPC-CPN_Q&amp;A'!#REF!,BF$1,'SPC-CPN_Q&amp;A'!#REF!,'Writing assignments'!$C59,'SPC-CPN_Q&amp;A'!$O:$O,"Recall")</f>
        <v>#REF!</v>
      </c>
      <c r="BN59" s="83" t="e">
        <f>COUNTIFS('SPC-CPN_Q&amp;A'!#REF!,BF$1,'SPC-CPN_Q&amp;A'!#REF!,'Writing assignments'!$C59,'SPC-CPN_Q&amp;A'!$O:$O,"Application")</f>
        <v>#REF!</v>
      </c>
      <c r="BO59" s="83" t="e">
        <f>COUNTIFS('SPC-CPN_Q&amp;A'!#REF!,BF$1,'SPC-CPN_Q&amp;A'!#REF!,'Writing assignments'!$C59,'SPC-CPN_Q&amp;A'!$O:$O,"Analysis")</f>
        <v>#REF!</v>
      </c>
      <c r="BP59" s="82"/>
      <c r="BT59" s="84"/>
      <c r="BV59" s="83" t="e">
        <f t="shared" si="9"/>
        <v>#REF!</v>
      </c>
      <c r="BW59" s="83" t="e">
        <f>COUNTIFS('SPC-CPN_Q&amp;A'!#REF!,BP$1,'SPC-CPN_Q&amp;A'!#REF!,'Writing assignments'!$C59,'SPC-CPN_Q&amp;A'!$O:$O,"Recall")</f>
        <v>#REF!</v>
      </c>
      <c r="BX59" s="83" t="e">
        <f>COUNTIFS('SPC-CPN_Q&amp;A'!#REF!,BP$1,'SPC-CPN_Q&amp;A'!#REF!,'Writing assignments'!$C59,'SPC-CPN_Q&amp;A'!$O:$O,"Application")</f>
        <v>#REF!</v>
      </c>
      <c r="BY59" s="83" t="e">
        <f>COUNTIFS('SPC-CPN_Q&amp;A'!#REF!,BP$1,'SPC-CPN_Q&amp;A'!#REF!,'Writing assignments'!$C59,'SPC-CPN_Q&amp;A'!$O:$O,"Analysis")</f>
        <v>#REF!</v>
      </c>
      <c r="CA59" s="83">
        <v>0</v>
      </c>
    </row>
    <row r="60" spans="2:79" x14ac:dyDescent="0.25">
      <c r="B60" s="74" t="s">
        <v>3614</v>
      </c>
      <c r="C60" s="74" t="s">
        <v>3633</v>
      </c>
      <c r="D60" s="6"/>
      <c r="E60" s="6">
        <v>0</v>
      </c>
      <c r="F60" s="6">
        <v>1</v>
      </c>
      <c r="G60" s="6">
        <v>1</v>
      </c>
      <c r="H60" s="6">
        <f t="shared" si="2"/>
        <v>2</v>
      </c>
      <c r="J60" s="42">
        <f t="shared" si="10"/>
        <v>0</v>
      </c>
      <c r="K60" s="82"/>
      <c r="L60" s="84">
        <v>0</v>
      </c>
      <c r="M60" s="82"/>
      <c r="N60" s="83">
        <f t="shared" si="3"/>
        <v>0</v>
      </c>
      <c r="S60" s="83" t="e">
        <f t="shared" si="4"/>
        <v>#REF!</v>
      </c>
      <c r="T60" s="83" t="e">
        <f>COUNTIFS('SPC-CPN_Q&amp;A'!#REF!,M$1,'SPC-CPN_Q&amp;A'!#REF!,'Writing assignments'!$C60,'SPC-CPN_Q&amp;A'!$O:$O,"Recall")</f>
        <v>#REF!</v>
      </c>
      <c r="U60" s="83" t="e">
        <f>COUNTIFS('SPC-CPN_Q&amp;A'!#REF!,M$1,'SPC-CPN_Q&amp;A'!#REF!,'Writing assignments'!$C60,'SPC-CPN_Q&amp;A'!$O:$O,"Application")</f>
        <v>#REF!</v>
      </c>
      <c r="V60" s="84" t="e">
        <f>COUNTIFS('SPC-CPN_Q&amp;A'!#REF!,M$1,'SPC-CPN_Q&amp;A'!#REF!,'Writing assignments'!$C60,'SPC-CPN_Q&amp;A'!$O:$O,"Analysis")</f>
        <v>#REF!</v>
      </c>
      <c r="W60" s="83" t="s">
        <v>71</v>
      </c>
      <c r="X60" s="83">
        <v>2</v>
      </c>
      <c r="Y60" s="83">
        <v>0</v>
      </c>
      <c r="Z60" s="83">
        <v>1</v>
      </c>
      <c r="AA60" s="84">
        <v>1</v>
      </c>
      <c r="AC60" s="83" t="e">
        <f t="shared" si="5"/>
        <v>#REF!</v>
      </c>
      <c r="AD60" s="83" t="e">
        <f>COUNTIFS('SPC-CPN_Q&amp;A'!#REF!,W$1,'SPC-CPN_Q&amp;A'!#REF!,'Writing assignments'!$C60,'SPC-CPN_Q&amp;A'!$O:$O,"Recall")</f>
        <v>#REF!</v>
      </c>
      <c r="AE60" s="83" t="e">
        <f>COUNTIFS('SPC-CPN_Q&amp;A'!#REF!,W$1,'SPC-CPN_Q&amp;A'!#REF!,'Writing assignments'!$C60,'SPC-CPN_Q&amp;A'!$O:$O,"Application")</f>
        <v>#REF!</v>
      </c>
      <c r="AF60" s="83" t="e">
        <f>COUNTIFS('SPC-CPN_Q&amp;A'!#REF!,W$1,'SPC-CPN_Q&amp;A'!#REF!,'Writing assignments'!$C60,'SPC-CPN_Q&amp;A'!$O:$O,"Analysis")</f>
        <v>#REF!</v>
      </c>
      <c r="AG60" s="82"/>
      <c r="AK60" s="84"/>
      <c r="AM60" s="83" t="e">
        <f t="shared" si="6"/>
        <v>#REF!</v>
      </c>
      <c r="AN60" s="83" t="e">
        <f>COUNTIFS('SPC-CPN_Q&amp;A'!#REF!,AG$1,'SPC-CPN_Q&amp;A'!#REF!,'Writing assignments'!$C60,'SPC-CPN_Q&amp;A'!$O:$O,"Recall")</f>
        <v>#REF!</v>
      </c>
      <c r="AO60" s="83" t="e">
        <f>COUNTIFS('SPC-CPN_Q&amp;A'!#REF!,AG$1,'SPC-CPN_Q&amp;A'!#REF!,'Writing assignments'!$C60,'SPC-CPN_Q&amp;A'!$O:$O,"Application")</f>
        <v>#REF!</v>
      </c>
      <c r="AP60" s="83" t="e">
        <f>COUNTIFS('SPC-CPN_Q&amp;A'!#REF!,AG$1,'SPC-CPN_Q&amp;A'!#REF!,'Writing assignments'!$C60,'SPC-CPN_Q&amp;A'!$O:$O,"Analysis")</f>
        <v>#REF!</v>
      </c>
      <c r="AQ60" s="82"/>
      <c r="AR60" s="83">
        <v>0</v>
      </c>
      <c r="AU60" s="84"/>
      <c r="BB60" s="83" t="e">
        <f t="shared" si="7"/>
        <v>#REF!</v>
      </c>
      <c r="BC60" s="83" t="e">
        <f>COUNTIFS('SPC-CPN_Q&amp;A'!#REF!,AV$1,'SPC-CPN_Q&amp;A'!#REF!,'Writing assignments'!$C60,'SPC-CPN_Q&amp;A'!$O:$O,"Recall")</f>
        <v>#REF!</v>
      </c>
      <c r="BD60" s="83" t="e">
        <f>COUNTIFS('SPC-CPN_Q&amp;A'!#REF!,AV$1,'SPC-CPN_Q&amp;A'!#REF!,'Writing assignments'!$C60,'SPC-CPN_Q&amp;A'!$O:$O,"Application")</f>
        <v>#REF!</v>
      </c>
      <c r="BE60" s="83" t="e">
        <f>COUNTIFS('SPC-CPN_Q&amp;A'!#REF!,AV$1,'SPC-CPN_Q&amp;A'!#REF!,'Writing assignments'!$C60,'SPC-CPN_Q&amp;A'!$O:$O,"Analysis")</f>
        <v>#REF!</v>
      </c>
      <c r="BF60" s="82"/>
      <c r="BJ60" s="84"/>
      <c r="BL60" s="83" t="e">
        <f t="shared" si="8"/>
        <v>#REF!</v>
      </c>
      <c r="BM60" s="83" t="e">
        <f>COUNTIFS('SPC-CPN_Q&amp;A'!#REF!,BF$1,'SPC-CPN_Q&amp;A'!#REF!,'Writing assignments'!$C60,'SPC-CPN_Q&amp;A'!$O:$O,"Recall")</f>
        <v>#REF!</v>
      </c>
      <c r="BN60" s="83" t="e">
        <f>COUNTIFS('SPC-CPN_Q&amp;A'!#REF!,BF$1,'SPC-CPN_Q&amp;A'!#REF!,'Writing assignments'!$C60,'SPC-CPN_Q&amp;A'!$O:$O,"Application")</f>
        <v>#REF!</v>
      </c>
      <c r="BO60" s="83" t="e">
        <f>COUNTIFS('SPC-CPN_Q&amp;A'!#REF!,BF$1,'SPC-CPN_Q&amp;A'!#REF!,'Writing assignments'!$C60,'SPC-CPN_Q&amp;A'!$O:$O,"Analysis")</f>
        <v>#REF!</v>
      </c>
      <c r="BP60" s="82"/>
      <c r="BT60" s="84"/>
      <c r="BV60" s="83" t="e">
        <f t="shared" si="9"/>
        <v>#REF!</v>
      </c>
      <c r="BW60" s="83" t="e">
        <f>COUNTIFS('SPC-CPN_Q&amp;A'!#REF!,BP$1,'SPC-CPN_Q&amp;A'!#REF!,'Writing assignments'!$C60,'SPC-CPN_Q&amp;A'!$O:$O,"Recall")</f>
        <v>#REF!</v>
      </c>
      <c r="BX60" s="83" t="e">
        <f>COUNTIFS('SPC-CPN_Q&amp;A'!#REF!,BP$1,'SPC-CPN_Q&amp;A'!#REF!,'Writing assignments'!$C60,'SPC-CPN_Q&amp;A'!$O:$O,"Application")</f>
        <v>#REF!</v>
      </c>
      <c r="BY60" s="83" t="e">
        <f>COUNTIFS('SPC-CPN_Q&amp;A'!#REF!,BP$1,'SPC-CPN_Q&amp;A'!#REF!,'Writing assignments'!$C60,'SPC-CPN_Q&amp;A'!$O:$O,"Analysis")</f>
        <v>#REF!</v>
      </c>
      <c r="CA60" s="83">
        <v>0</v>
      </c>
    </row>
    <row r="61" spans="2:79" x14ac:dyDescent="0.25">
      <c r="B61" s="74" t="s">
        <v>3614</v>
      </c>
      <c r="C61" s="74" t="s">
        <v>3634</v>
      </c>
      <c r="D61" s="6"/>
      <c r="E61" s="6">
        <v>0</v>
      </c>
      <c r="F61" s="6">
        <v>1</v>
      </c>
      <c r="G61" s="6">
        <v>0</v>
      </c>
      <c r="H61" s="6">
        <f t="shared" si="2"/>
        <v>1</v>
      </c>
      <c r="J61" s="42">
        <f t="shared" si="10"/>
        <v>0</v>
      </c>
      <c r="K61" s="82"/>
      <c r="L61" s="84">
        <v>0</v>
      </c>
      <c r="M61" s="82"/>
      <c r="N61" s="83">
        <f t="shared" si="3"/>
        <v>0</v>
      </c>
      <c r="S61" s="83" t="e">
        <f t="shared" si="4"/>
        <v>#REF!</v>
      </c>
      <c r="T61" s="83" t="e">
        <f>COUNTIFS('SPC-CPN_Q&amp;A'!#REF!,M$1,'SPC-CPN_Q&amp;A'!#REF!,'Writing assignments'!$C61,'SPC-CPN_Q&amp;A'!$O:$O,"Recall")</f>
        <v>#REF!</v>
      </c>
      <c r="U61" s="83" t="e">
        <f>COUNTIFS('SPC-CPN_Q&amp;A'!#REF!,M$1,'SPC-CPN_Q&amp;A'!#REF!,'Writing assignments'!$C61,'SPC-CPN_Q&amp;A'!$O:$O,"Application")</f>
        <v>#REF!</v>
      </c>
      <c r="V61" s="84" t="e">
        <f>COUNTIFS('SPC-CPN_Q&amp;A'!#REF!,M$1,'SPC-CPN_Q&amp;A'!#REF!,'Writing assignments'!$C61,'SPC-CPN_Q&amp;A'!$O:$O,"Analysis")</f>
        <v>#REF!</v>
      </c>
      <c r="AA61" s="84"/>
      <c r="AC61" s="83" t="e">
        <f t="shared" si="5"/>
        <v>#REF!</v>
      </c>
      <c r="AD61" s="83" t="e">
        <f>COUNTIFS('SPC-CPN_Q&amp;A'!#REF!,W$1,'SPC-CPN_Q&amp;A'!#REF!,'Writing assignments'!$C61,'SPC-CPN_Q&amp;A'!$O:$O,"Recall")</f>
        <v>#REF!</v>
      </c>
      <c r="AE61" s="83" t="e">
        <f>COUNTIFS('SPC-CPN_Q&amp;A'!#REF!,W$1,'SPC-CPN_Q&amp;A'!#REF!,'Writing assignments'!$C61,'SPC-CPN_Q&amp;A'!$O:$O,"Application")</f>
        <v>#REF!</v>
      </c>
      <c r="AF61" s="83" t="e">
        <f>COUNTIFS('SPC-CPN_Q&amp;A'!#REF!,W$1,'SPC-CPN_Q&amp;A'!#REF!,'Writing assignments'!$C61,'SPC-CPN_Q&amp;A'!$O:$O,"Analysis")</f>
        <v>#REF!</v>
      </c>
      <c r="AG61" s="82" t="s">
        <v>71</v>
      </c>
      <c r="AH61" s="83">
        <v>1</v>
      </c>
      <c r="AI61" s="83">
        <v>0</v>
      </c>
      <c r="AJ61" s="83">
        <v>1</v>
      </c>
      <c r="AK61" s="84">
        <v>0</v>
      </c>
      <c r="AM61" s="83" t="e">
        <f t="shared" si="6"/>
        <v>#REF!</v>
      </c>
      <c r="AN61" s="83" t="e">
        <f>COUNTIFS('SPC-CPN_Q&amp;A'!#REF!,AG$1,'SPC-CPN_Q&amp;A'!#REF!,'Writing assignments'!$C61,'SPC-CPN_Q&amp;A'!$O:$O,"Recall")</f>
        <v>#REF!</v>
      </c>
      <c r="AO61" s="83" t="e">
        <f>COUNTIFS('SPC-CPN_Q&amp;A'!#REF!,AG$1,'SPC-CPN_Q&amp;A'!#REF!,'Writing assignments'!$C61,'SPC-CPN_Q&amp;A'!$O:$O,"Application")</f>
        <v>#REF!</v>
      </c>
      <c r="AP61" s="83" t="e">
        <f>COUNTIFS('SPC-CPN_Q&amp;A'!#REF!,AG$1,'SPC-CPN_Q&amp;A'!#REF!,'Writing assignments'!$C61,'SPC-CPN_Q&amp;A'!$O:$O,"Analysis")</f>
        <v>#REF!</v>
      </c>
      <c r="AQ61" s="82"/>
      <c r="AR61" s="83">
        <v>0</v>
      </c>
      <c r="AU61" s="84"/>
      <c r="BB61" s="83" t="e">
        <f t="shared" si="7"/>
        <v>#REF!</v>
      </c>
      <c r="BC61" s="83" t="e">
        <f>COUNTIFS('SPC-CPN_Q&amp;A'!#REF!,AV$1,'SPC-CPN_Q&amp;A'!#REF!,'Writing assignments'!$C61,'SPC-CPN_Q&amp;A'!$O:$O,"Recall")</f>
        <v>#REF!</v>
      </c>
      <c r="BD61" s="83" t="e">
        <f>COUNTIFS('SPC-CPN_Q&amp;A'!#REF!,AV$1,'SPC-CPN_Q&amp;A'!#REF!,'Writing assignments'!$C61,'SPC-CPN_Q&amp;A'!$O:$O,"Application")</f>
        <v>#REF!</v>
      </c>
      <c r="BE61" s="83" t="e">
        <f>COUNTIFS('SPC-CPN_Q&amp;A'!#REF!,AV$1,'SPC-CPN_Q&amp;A'!#REF!,'Writing assignments'!$C61,'SPC-CPN_Q&amp;A'!$O:$O,"Analysis")</f>
        <v>#REF!</v>
      </c>
      <c r="BF61" s="82"/>
      <c r="BJ61" s="84"/>
      <c r="BL61" s="83" t="e">
        <f t="shared" si="8"/>
        <v>#REF!</v>
      </c>
      <c r="BM61" s="83" t="e">
        <f>COUNTIFS('SPC-CPN_Q&amp;A'!#REF!,BF$1,'SPC-CPN_Q&amp;A'!#REF!,'Writing assignments'!$C61,'SPC-CPN_Q&amp;A'!$O:$O,"Recall")</f>
        <v>#REF!</v>
      </c>
      <c r="BN61" s="83" t="e">
        <f>COUNTIFS('SPC-CPN_Q&amp;A'!#REF!,BF$1,'SPC-CPN_Q&amp;A'!#REF!,'Writing assignments'!$C61,'SPC-CPN_Q&amp;A'!$O:$O,"Application")</f>
        <v>#REF!</v>
      </c>
      <c r="BO61" s="83" t="e">
        <f>COUNTIFS('SPC-CPN_Q&amp;A'!#REF!,BF$1,'SPC-CPN_Q&amp;A'!#REF!,'Writing assignments'!$C61,'SPC-CPN_Q&amp;A'!$O:$O,"Analysis")</f>
        <v>#REF!</v>
      </c>
      <c r="BP61" s="82"/>
      <c r="BT61" s="84"/>
      <c r="BV61" s="83" t="e">
        <f t="shared" si="9"/>
        <v>#REF!</v>
      </c>
      <c r="BW61" s="83" t="e">
        <f>COUNTIFS('SPC-CPN_Q&amp;A'!#REF!,BP$1,'SPC-CPN_Q&amp;A'!#REF!,'Writing assignments'!$C61,'SPC-CPN_Q&amp;A'!$O:$O,"Recall")</f>
        <v>#REF!</v>
      </c>
      <c r="BX61" s="83" t="e">
        <f>COUNTIFS('SPC-CPN_Q&amp;A'!#REF!,BP$1,'SPC-CPN_Q&amp;A'!#REF!,'Writing assignments'!$C61,'SPC-CPN_Q&amp;A'!$O:$O,"Application")</f>
        <v>#REF!</v>
      </c>
      <c r="BY61" s="83" t="e">
        <f>COUNTIFS('SPC-CPN_Q&amp;A'!#REF!,BP$1,'SPC-CPN_Q&amp;A'!#REF!,'Writing assignments'!$C61,'SPC-CPN_Q&amp;A'!$O:$O,"Analysis")</f>
        <v>#REF!</v>
      </c>
      <c r="CA61" s="83">
        <v>0</v>
      </c>
    </row>
    <row r="62" spans="2:79" x14ac:dyDescent="0.25">
      <c r="B62" s="74" t="s">
        <v>3614</v>
      </c>
      <c r="C62" s="74" t="s">
        <v>3635</v>
      </c>
      <c r="D62" s="6"/>
      <c r="E62" s="6">
        <v>1</v>
      </c>
      <c r="F62" s="6">
        <v>1</v>
      </c>
      <c r="G62" s="6">
        <v>1</v>
      </c>
      <c r="H62" s="6">
        <f t="shared" si="2"/>
        <v>3</v>
      </c>
      <c r="J62" s="42">
        <f t="shared" si="10"/>
        <v>0</v>
      </c>
      <c r="K62" s="82"/>
      <c r="L62" s="84">
        <v>0</v>
      </c>
      <c r="M62" s="82"/>
      <c r="N62" s="83">
        <f t="shared" si="3"/>
        <v>0</v>
      </c>
      <c r="S62" s="83" t="e">
        <f t="shared" si="4"/>
        <v>#REF!</v>
      </c>
      <c r="T62" s="83" t="e">
        <f>COUNTIFS('SPC-CPN_Q&amp;A'!#REF!,M$1,'SPC-CPN_Q&amp;A'!#REF!,'Writing assignments'!$C62,'SPC-CPN_Q&amp;A'!$O:$O,"Recall")</f>
        <v>#REF!</v>
      </c>
      <c r="U62" s="83" t="e">
        <f>COUNTIFS('SPC-CPN_Q&amp;A'!#REF!,M$1,'SPC-CPN_Q&amp;A'!#REF!,'Writing assignments'!$C62,'SPC-CPN_Q&amp;A'!$O:$O,"Application")</f>
        <v>#REF!</v>
      </c>
      <c r="V62" s="84" t="e">
        <f>COUNTIFS('SPC-CPN_Q&amp;A'!#REF!,M$1,'SPC-CPN_Q&amp;A'!#REF!,'Writing assignments'!$C62,'SPC-CPN_Q&amp;A'!$O:$O,"Analysis")</f>
        <v>#REF!</v>
      </c>
      <c r="AA62" s="84"/>
      <c r="AC62" s="83" t="e">
        <f t="shared" si="5"/>
        <v>#REF!</v>
      </c>
      <c r="AD62" s="83" t="e">
        <f>COUNTIFS('SPC-CPN_Q&amp;A'!#REF!,W$1,'SPC-CPN_Q&amp;A'!#REF!,'Writing assignments'!$C62,'SPC-CPN_Q&amp;A'!$O:$O,"Recall")</f>
        <v>#REF!</v>
      </c>
      <c r="AE62" s="83" t="e">
        <f>COUNTIFS('SPC-CPN_Q&amp;A'!#REF!,W$1,'SPC-CPN_Q&amp;A'!#REF!,'Writing assignments'!$C62,'SPC-CPN_Q&amp;A'!$O:$O,"Application")</f>
        <v>#REF!</v>
      </c>
      <c r="AF62" s="83" t="e">
        <f>COUNTIFS('SPC-CPN_Q&amp;A'!#REF!,W$1,'SPC-CPN_Q&amp;A'!#REF!,'Writing assignments'!$C62,'SPC-CPN_Q&amp;A'!$O:$O,"Analysis")</f>
        <v>#REF!</v>
      </c>
      <c r="AG62" s="82" t="s">
        <v>71</v>
      </c>
      <c r="AH62" s="83">
        <v>3</v>
      </c>
      <c r="AI62" s="83">
        <v>1</v>
      </c>
      <c r="AJ62" s="83">
        <v>1</v>
      </c>
      <c r="AK62" s="84">
        <v>1</v>
      </c>
      <c r="AM62" s="83" t="e">
        <f t="shared" si="6"/>
        <v>#REF!</v>
      </c>
      <c r="AN62" s="83" t="e">
        <f>COUNTIFS('SPC-CPN_Q&amp;A'!#REF!,AG$1,'SPC-CPN_Q&amp;A'!#REF!,'Writing assignments'!$C62,'SPC-CPN_Q&amp;A'!$O:$O,"Recall")</f>
        <v>#REF!</v>
      </c>
      <c r="AO62" s="83" t="e">
        <f>COUNTIFS('SPC-CPN_Q&amp;A'!#REF!,AG$1,'SPC-CPN_Q&amp;A'!#REF!,'Writing assignments'!$C62,'SPC-CPN_Q&amp;A'!$O:$O,"Application")</f>
        <v>#REF!</v>
      </c>
      <c r="AP62" s="83" t="e">
        <f>COUNTIFS('SPC-CPN_Q&amp;A'!#REF!,AG$1,'SPC-CPN_Q&amp;A'!#REF!,'Writing assignments'!$C62,'SPC-CPN_Q&amp;A'!$O:$O,"Analysis")</f>
        <v>#REF!</v>
      </c>
      <c r="AQ62" s="82"/>
      <c r="AR62" s="83">
        <v>0</v>
      </c>
      <c r="AU62" s="84"/>
      <c r="BB62" s="83" t="e">
        <f t="shared" si="7"/>
        <v>#REF!</v>
      </c>
      <c r="BC62" s="83" t="e">
        <f>COUNTIFS('SPC-CPN_Q&amp;A'!#REF!,AV$1,'SPC-CPN_Q&amp;A'!#REF!,'Writing assignments'!$C62,'SPC-CPN_Q&amp;A'!$O:$O,"Recall")</f>
        <v>#REF!</v>
      </c>
      <c r="BD62" s="83" t="e">
        <f>COUNTIFS('SPC-CPN_Q&amp;A'!#REF!,AV$1,'SPC-CPN_Q&amp;A'!#REF!,'Writing assignments'!$C62,'SPC-CPN_Q&amp;A'!$O:$O,"Application")</f>
        <v>#REF!</v>
      </c>
      <c r="BE62" s="83" t="e">
        <f>COUNTIFS('SPC-CPN_Q&amp;A'!#REF!,AV$1,'SPC-CPN_Q&amp;A'!#REF!,'Writing assignments'!$C62,'SPC-CPN_Q&amp;A'!$O:$O,"Analysis")</f>
        <v>#REF!</v>
      </c>
      <c r="BF62" s="82"/>
      <c r="BJ62" s="84"/>
      <c r="BL62" s="83" t="e">
        <f t="shared" si="8"/>
        <v>#REF!</v>
      </c>
      <c r="BM62" s="83" t="e">
        <f>COUNTIFS('SPC-CPN_Q&amp;A'!#REF!,BF$1,'SPC-CPN_Q&amp;A'!#REF!,'Writing assignments'!$C62,'SPC-CPN_Q&amp;A'!$O:$O,"Recall")</f>
        <v>#REF!</v>
      </c>
      <c r="BN62" s="83" t="e">
        <f>COUNTIFS('SPC-CPN_Q&amp;A'!#REF!,BF$1,'SPC-CPN_Q&amp;A'!#REF!,'Writing assignments'!$C62,'SPC-CPN_Q&amp;A'!$O:$O,"Application")</f>
        <v>#REF!</v>
      </c>
      <c r="BO62" s="83" t="e">
        <f>COUNTIFS('SPC-CPN_Q&amp;A'!#REF!,BF$1,'SPC-CPN_Q&amp;A'!#REF!,'Writing assignments'!$C62,'SPC-CPN_Q&amp;A'!$O:$O,"Analysis")</f>
        <v>#REF!</v>
      </c>
      <c r="BP62" s="82"/>
      <c r="BT62" s="84"/>
      <c r="BV62" s="83" t="e">
        <f t="shared" si="9"/>
        <v>#REF!</v>
      </c>
      <c r="BW62" s="83" t="e">
        <f>COUNTIFS('SPC-CPN_Q&amp;A'!#REF!,BP$1,'SPC-CPN_Q&amp;A'!#REF!,'Writing assignments'!$C62,'SPC-CPN_Q&amp;A'!$O:$O,"Recall")</f>
        <v>#REF!</v>
      </c>
      <c r="BX62" s="83" t="e">
        <f>COUNTIFS('SPC-CPN_Q&amp;A'!#REF!,BP$1,'SPC-CPN_Q&amp;A'!#REF!,'Writing assignments'!$C62,'SPC-CPN_Q&amp;A'!$O:$O,"Application")</f>
        <v>#REF!</v>
      </c>
      <c r="BY62" s="83" t="e">
        <f>COUNTIFS('SPC-CPN_Q&amp;A'!#REF!,BP$1,'SPC-CPN_Q&amp;A'!#REF!,'Writing assignments'!$C62,'SPC-CPN_Q&amp;A'!$O:$O,"Analysis")</f>
        <v>#REF!</v>
      </c>
      <c r="CA62" s="83">
        <v>0</v>
      </c>
    </row>
    <row r="63" spans="2:79" x14ac:dyDescent="0.25">
      <c r="B63" s="74" t="s">
        <v>3614</v>
      </c>
      <c r="C63" s="74" t="s">
        <v>3636</v>
      </c>
      <c r="D63" s="6"/>
      <c r="E63" s="6"/>
      <c r="F63" s="6">
        <v>1</v>
      </c>
      <c r="G63" s="6">
        <v>0</v>
      </c>
      <c r="H63" s="6">
        <f t="shared" si="2"/>
        <v>1</v>
      </c>
      <c r="J63" s="42">
        <f t="shared" si="10"/>
        <v>0</v>
      </c>
      <c r="K63" s="82"/>
      <c r="L63" s="84">
        <v>0</v>
      </c>
      <c r="M63" s="82"/>
      <c r="N63" s="83">
        <f t="shared" si="3"/>
        <v>0</v>
      </c>
      <c r="S63" s="83" t="e">
        <f t="shared" si="4"/>
        <v>#REF!</v>
      </c>
      <c r="T63" s="83" t="e">
        <f>COUNTIFS('SPC-CPN_Q&amp;A'!#REF!,M$1,'SPC-CPN_Q&amp;A'!#REF!,'Writing assignments'!$C63,'SPC-CPN_Q&amp;A'!$O:$O,"Recall")</f>
        <v>#REF!</v>
      </c>
      <c r="U63" s="83" t="e">
        <f>COUNTIFS('SPC-CPN_Q&amp;A'!#REF!,M$1,'SPC-CPN_Q&amp;A'!#REF!,'Writing assignments'!$C63,'SPC-CPN_Q&amp;A'!$O:$O,"Application")</f>
        <v>#REF!</v>
      </c>
      <c r="V63" s="84" t="e">
        <f>COUNTIFS('SPC-CPN_Q&amp;A'!#REF!,M$1,'SPC-CPN_Q&amp;A'!#REF!,'Writing assignments'!$C63,'SPC-CPN_Q&amp;A'!$O:$O,"Analysis")</f>
        <v>#REF!</v>
      </c>
      <c r="AA63" s="84"/>
      <c r="AC63" s="83" t="e">
        <f t="shared" si="5"/>
        <v>#REF!</v>
      </c>
      <c r="AD63" s="83" t="e">
        <f>COUNTIFS('SPC-CPN_Q&amp;A'!#REF!,W$1,'SPC-CPN_Q&amp;A'!#REF!,'Writing assignments'!$C63,'SPC-CPN_Q&amp;A'!$O:$O,"Recall")</f>
        <v>#REF!</v>
      </c>
      <c r="AE63" s="83" t="e">
        <f>COUNTIFS('SPC-CPN_Q&amp;A'!#REF!,W$1,'SPC-CPN_Q&amp;A'!#REF!,'Writing assignments'!$C63,'SPC-CPN_Q&amp;A'!$O:$O,"Application")</f>
        <v>#REF!</v>
      </c>
      <c r="AF63" s="83" t="e">
        <f>COUNTIFS('SPC-CPN_Q&amp;A'!#REF!,W$1,'SPC-CPN_Q&amp;A'!#REF!,'Writing assignments'!$C63,'SPC-CPN_Q&amp;A'!$O:$O,"Analysis")</f>
        <v>#REF!</v>
      </c>
      <c r="AG63" s="82" t="s">
        <v>71</v>
      </c>
      <c r="AH63" s="83">
        <v>1</v>
      </c>
      <c r="AI63" s="83">
        <v>0</v>
      </c>
      <c r="AJ63" s="83">
        <v>1</v>
      </c>
      <c r="AK63" s="84">
        <v>0</v>
      </c>
      <c r="AM63" s="83" t="e">
        <f t="shared" si="6"/>
        <v>#REF!</v>
      </c>
      <c r="AN63" s="83" t="e">
        <f>COUNTIFS('SPC-CPN_Q&amp;A'!#REF!,AG$1,'SPC-CPN_Q&amp;A'!#REF!,'Writing assignments'!$C63,'SPC-CPN_Q&amp;A'!$O:$O,"Recall")</f>
        <v>#REF!</v>
      </c>
      <c r="AO63" s="83" t="e">
        <f>COUNTIFS('SPC-CPN_Q&amp;A'!#REF!,AG$1,'SPC-CPN_Q&amp;A'!#REF!,'Writing assignments'!$C63,'SPC-CPN_Q&amp;A'!$O:$O,"Application")</f>
        <v>#REF!</v>
      </c>
      <c r="AP63" s="83" t="e">
        <f>COUNTIFS('SPC-CPN_Q&amp;A'!#REF!,AG$1,'SPC-CPN_Q&amp;A'!#REF!,'Writing assignments'!$C63,'SPC-CPN_Q&amp;A'!$O:$O,"Analysis")</f>
        <v>#REF!</v>
      </c>
      <c r="AQ63" s="82"/>
      <c r="AR63" s="83">
        <v>0</v>
      </c>
      <c r="AU63" s="84"/>
      <c r="BB63" s="83" t="e">
        <f t="shared" si="7"/>
        <v>#REF!</v>
      </c>
      <c r="BC63" s="83" t="e">
        <f>COUNTIFS('SPC-CPN_Q&amp;A'!#REF!,AV$1,'SPC-CPN_Q&amp;A'!#REF!,'Writing assignments'!$C63,'SPC-CPN_Q&amp;A'!$O:$O,"Recall")</f>
        <v>#REF!</v>
      </c>
      <c r="BD63" s="83" t="e">
        <f>COUNTIFS('SPC-CPN_Q&amp;A'!#REF!,AV$1,'SPC-CPN_Q&amp;A'!#REF!,'Writing assignments'!$C63,'SPC-CPN_Q&amp;A'!$O:$O,"Application")</f>
        <v>#REF!</v>
      </c>
      <c r="BE63" s="83" t="e">
        <f>COUNTIFS('SPC-CPN_Q&amp;A'!#REF!,AV$1,'SPC-CPN_Q&amp;A'!#REF!,'Writing assignments'!$C63,'SPC-CPN_Q&amp;A'!$O:$O,"Analysis")</f>
        <v>#REF!</v>
      </c>
      <c r="BF63" s="82"/>
      <c r="BJ63" s="84"/>
      <c r="BL63" s="83" t="e">
        <f t="shared" si="8"/>
        <v>#REF!</v>
      </c>
      <c r="BM63" s="83" t="e">
        <f>COUNTIFS('SPC-CPN_Q&amp;A'!#REF!,BF$1,'SPC-CPN_Q&amp;A'!#REF!,'Writing assignments'!$C63,'SPC-CPN_Q&amp;A'!$O:$O,"Recall")</f>
        <v>#REF!</v>
      </c>
      <c r="BN63" s="83" t="e">
        <f>COUNTIFS('SPC-CPN_Q&amp;A'!#REF!,BF$1,'SPC-CPN_Q&amp;A'!#REF!,'Writing assignments'!$C63,'SPC-CPN_Q&amp;A'!$O:$O,"Application")</f>
        <v>#REF!</v>
      </c>
      <c r="BO63" s="83" t="e">
        <f>COUNTIFS('SPC-CPN_Q&amp;A'!#REF!,BF$1,'SPC-CPN_Q&amp;A'!#REF!,'Writing assignments'!$C63,'SPC-CPN_Q&amp;A'!$O:$O,"Analysis")</f>
        <v>#REF!</v>
      </c>
      <c r="BP63" s="82"/>
      <c r="BT63" s="84"/>
      <c r="BV63" s="83" t="e">
        <f t="shared" si="9"/>
        <v>#REF!</v>
      </c>
      <c r="BW63" s="83" t="e">
        <f>COUNTIFS('SPC-CPN_Q&amp;A'!#REF!,BP$1,'SPC-CPN_Q&amp;A'!#REF!,'Writing assignments'!$C63,'SPC-CPN_Q&amp;A'!$O:$O,"Recall")</f>
        <v>#REF!</v>
      </c>
      <c r="BX63" s="83" t="e">
        <f>COUNTIFS('SPC-CPN_Q&amp;A'!#REF!,BP$1,'SPC-CPN_Q&amp;A'!#REF!,'Writing assignments'!$C63,'SPC-CPN_Q&amp;A'!$O:$O,"Application")</f>
        <v>#REF!</v>
      </c>
      <c r="BY63" s="83" t="e">
        <f>COUNTIFS('SPC-CPN_Q&amp;A'!#REF!,BP$1,'SPC-CPN_Q&amp;A'!#REF!,'Writing assignments'!$C63,'SPC-CPN_Q&amp;A'!$O:$O,"Analysis")</f>
        <v>#REF!</v>
      </c>
      <c r="CA63" s="83">
        <v>0</v>
      </c>
    </row>
    <row r="64" spans="2:79" x14ac:dyDescent="0.25">
      <c r="B64" s="74" t="s">
        <v>3614</v>
      </c>
      <c r="C64" s="74" t="s">
        <v>3637</v>
      </c>
      <c r="D64" s="6"/>
      <c r="E64" s="6"/>
      <c r="F64" s="6">
        <v>2</v>
      </c>
      <c r="G64" s="6">
        <v>1</v>
      </c>
      <c r="H64" s="6">
        <f t="shared" si="2"/>
        <v>3</v>
      </c>
      <c r="J64" s="42">
        <f t="shared" si="10"/>
        <v>0</v>
      </c>
      <c r="K64" s="82"/>
      <c r="L64" s="84">
        <v>0</v>
      </c>
      <c r="M64" s="82"/>
      <c r="N64" s="83">
        <f t="shared" si="3"/>
        <v>0</v>
      </c>
      <c r="S64" s="83" t="e">
        <f t="shared" si="4"/>
        <v>#REF!</v>
      </c>
      <c r="T64" s="83" t="e">
        <f>COUNTIFS('SPC-CPN_Q&amp;A'!#REF!,M$1,'SPC-CPN_Q&amp;A'!#REF!,'Writing assignments'!$C64,'SPC-CPN_Q&amp;A'!$O:$O,"Recall")</f>
        <v>#REF!</v>
      </c>
      <c r="U64" s="83" t="e">
        <f>COUNTIFS('SPC-CPN_Q&amp;A'!#REF!,M$1,'SPC-CPN_Q&amp;A'!#REF!,'Writing assignments'!$C64,'SPC-CPN_Q&amp;A'!$O:$O,"Application")</f>
        <v>#REF!</v>
      </c>
      <c r="V64" s="84" t="e">
        <f>COUNTIFS('SPC-CPN_Q&amp;A'!#REF!,M$1,'SPC-CPN_Q&amp;A'!#REF!,'Writing assignments'!$C64,'SPC-CPN_Q&amp;A'!$O:$O,"Analysis")</f>
        <v>#REF!</v>
      </c>
      <c r="AA64" s="84"/>
      <c r="AC64" s="83" t="e">
        <f t="shared" si="5"/>
        <v>#REF!</v>
      </c>
      <c r="AD64" s="83" t="e">
        <f>COUNTIFS('SPC-CPN_Q&amp;A'!#REF!,W$1,'SPC-CPN_Q&amp;A'!#REF!,'Writing assignments'!$C64,'SPC-CPN_Q&amp;A'!$O:$O,"Recall")</f>
        <v>#REF!</v>
      </c>
      <c r="AE64" s="83" t="e">
        <f>COUNTIFS('SPC-CPN_Q&amp;A'!#REF!,W$1,'SPC-CPN_Q&amp;A'!#REF!,'Writing assignments'!$C64,'SPC-CPN_Q&amp;A'!$O:$O,"Application")</f>
        <v>#REF!</v>
      </c>
      <c r="AF64" s="83" t="e">
        <f>COUNTIFS('SPC-CPN_Q&amp;A'!#REF!,W$1,'SPC-CPN_Q&amp;A'!#REF!,'Writing assignments'!$C64,'SPC-CPN_Q&amp;A'!$O:$O,"Analysis")</f>
        <v>#REF!</v>
      </c>
      <c r="AG64" s="82" t="s">
        <v>71</v>
      </c>
      <c r="AH64" s="83">
        <v>3</v>
      </c>
      <c r="AI64" s="83">
        <v>0</v>
      </c>
      <c r="AJ64" s="83">
        <v>2</v>
      </c>
      <c r="AK64" s="84">
        <v>1</v>
      </c>
      <c r="AM64" s="83" t="e">
        <f t="shared" si="6"/>
        <v>#REF!</v>
      </c>
      <c r="AN64" s="83" t="e">
        <f>COUNTIFS('SPC-CPN_Q&amp;A'!#REF!,AG$1,'SPC-CPN_Q&amp;A'!#REF!,'Writing assignments'!$C64,'SPC-CPN_Q&amp;A'!$O:$O,"Recall")</f>
        <v>#REF!</v>
      </c>
      <c r="AO64" s="83" t="e">
        <f>COUNTIFS('SPC-CPN_Q&amp;A'!#REF!,AG$1,'SPC-CPN_Q&amp;A'!#REF!,'Writing assignments'!$C64,'SPC-CPN_Q&amp;A'!$O:$O,"Application")</f>
        <v>#REF!</v>
      </c>
      <c r="AP64" s="83" t="e">
        <f>COUNTIFS('SPC-CPN_Q&amp;A'!#REF!,AG$1,'SPC-CPN_Q&amp;A'!#REF!,'Writing assignments'!$C64,'SPC-CPN_Q&amp;A'!$O:$O,"Analysis")</f>
        <v>#REF!</v>
      </c>
      <c r="AQ64" s="82"/>
      <c r="AR64" s="83">
        <v>0</v>
      </c>
      <c r="AU64" s="84"/>
      <c r="BB64" s="83" t="e">
        <f t="shared" si="7"/>
        <v>#REF!</v>
      </c>
      <c r="BC64" s="83" t="e">
        <f>COUNTIFS('SPC-CPN_Q&amp;A'!#REF!,AV$1,'SPC-CPN_Q&amp;A'!#REF!,'Writing assignments'!$C64,'SPC-CPN_Q&amp;A'!$O:$O,"Recall")</f>
        <v>#REF!</v>
      </c>
      <c r="BD64" s="83" t="e">
        <f>COUNTIFS('SPC-CPN_Q&amp;A'!#REF!,AV$1,'SPC-CPN_Q&amp;A'!#REF!,'Writing assignments'!$C64,'SPC-CPN_Q&amp;A'!$O:$O,"Application")</f>
        <v>#REF!</v>
      </c>
      <c r="BE64" s="83" t="e">
        <f>COUNTIFS('SPC-CPN_Q&amp;A'!#REF!,AV$1,'SPC-CPN_Q&amp;A'!#REF!,'Writing assignments'!$C64,'SPC-CPN_Q&amp;A'!$O:$O,"Analysis")</f>
        <v>#REF!</v>
      </c>
      <c r="BF64" s="82"/>
      <c r="BJ64" s="84"/>
      <c r="BL64" s="83" t="e">
        <f t="shared" si="8"/>
        <v>#REF!</v>
      </c>
      <c r="BM64" s="83" t="e">
        <f>COUNTIFS('SPC-CPN_Q&amp;A'!#REF!,BF$1,'SPC-CPN_Q&amp;A'!#REF!,'Writing assignments'!$C64,'SPC-CPN_Q&amp;A'!$O:$O,"Recall")</f>
        <v>#REF!</v>
      </c>
      <c r="BN64" s="83" t="e">
        <f>COUNTIFS('SPC-CPN_Q&amp;A'!#REF!,BF$1,'SPC-CPN_Q&amp;A'!#REF!,'Writing assignments'!$C64,'SPC-CPN_Q&amp;A'!$O:$O,"Application")</f>
        <v>#REF!</v>
      </c>
      <c r="BO64" s="83" t="e">
        <f>COUNTIFS('SPC-CPN_Q&amp;A'!#REF!,BF$1,'SPC-CPN_Q&amp;A'!#REF!,'Writing assignments'!$C64,'SPC-CPN_Q&amp;A'!$O:$O,"Analysis")</f>
        <v>#REF!</v>
      </c>
      <c r="BP64" s="82"/>
      <c r="BT64" s="84"/>
      <c r="BV64" s="83" t="e">
        <f t="shared" si="9"/>
        <v>#REF!</v>
      </c>
      <c r="BW64" s="83" t="e">
        <f>COUNTIFS('SPC-CPN_Q&amp;A'!#REF!,BP$1,'SPC-CPN_Q&amp;A'!#REF!,'Writing assignments'!$C64,'SPC-CPN_Q&amp;A'!$O:$O,"Recall")</f>
        <v>#REF!</v>
      </c>
      <c r="BX64" s="83" t="e">
        <f>COUNTIFS('SPC-CPN_Q&amp;A'!#REF!,BP$1,'SPC-CPN_Q&amp;A'!#REF!,'Writing assignments'!$C64,'SPC-CPN_Q&amp;A'!$O:$O,"Application")</f>
        <v>#REF!</v>
      </c>
      <c r="BY64" s="83" t="e">
        <f>COUNTIFS('SPC-CPN_Q&amp;A'!#REF!,BP$1,'SPC-CPN_Q&amp;A'!#REF!,'Writing assignments'!$C64,'SPC-CPN_Q&amp;A'!$O:$O,"Analysis")</f>
        <v>#REF!</v>
      </c>
      <c r="CA64" s="83">
        <v>0</v>
      </c>
    </row>
    <row r="65" spans="2:79" x14ac:dyDescent="0.25">
      <c r="B65" s="74" t="s">
        <v>3614</v>
      </c>
      <c r="C65" s="74" t="s">
        <v>3638</v>
      </c>
      <c r="D65" s="6"/>
      <c r="E65" s="6">
        <v>0</v>
      </c>
      <c r="F65" s="6">
        <v>1</v>
      </c>
      <c r="G65" s="6">
        <v>1</v>
      </c>
      <c r="H65" s="6">
        <f t="shared" si="2"/>
        <v>2</v>
      </c>
      <c r="J65" s="42">
        <f t="shared" si="10"/>
        <v>0</v>
      </c>
      <c r="K65" s="82"/>
      <c r="L65" s="84">
        <v>0</v>
      </c>
      <c r="M65" s="82"/>
      <c r="N65" s="83">
        <f t="shared" si="3"/>
        <v>0</v>
      </c>
      <c r="S65" s="83" t="e">
        <f t="shared" si="4"/>
        <v>#REF!</v>
      </c>
      <c r="T65" s="83" t="e">
        <f>COUNTIFS('SPC-CPN_Q&amp;A'!#REF!,M$1,'SPC-CPN_Q&amp;A'!#REF!,'Writing assignments'!$C65,'SPC-CPN_Q&amp;A'!$O:$O,"Recall")</f>
        <v>#REF!</v>
      </c>
      <c r="U65" s="83" t="e">
        <f>COUNTIFS('SPC-CPN_Q&amp;A'!#REF!,M$1,'SPC-CPN_Q&amp;A'!#REF!,'Writing assignments'!$C65,'SPC-CPN_Q&amp;A'!$O:$O,"Application")</f>
        <v>#REF!</v>
      </c>
      <c r="V65" s="84" t="e">
        <f>COUNTIFS('SPC-CPN_Q&amp;A'!#REF!,M$1,'SPC-CPN_Q&amp;A'!#REF!,'Writing assignments'!$C65,'SPC-CPN_Q&amp;A'!$O:$O,"Analysis")</f>
        <v>#REF!</v>
      </c>
      <c r="AA65" s="84"/>
      <c r="AC65" s="83" t="e">
        <f t="shared" si="5"/>
        <v>#REF!</v>
      </c>
      <c r="AD65" s="83" t="e">
        <f>COUNTIFS('SPC-CPN_Q&amp;A'!#REF!,W$1,'SPC-CPN_Q&amp;A'!#REF!,'Writing assignments'!$C65,'SPC-CPN_Q&amp;A'!$O:$O,"Recall")</f>
        <v>#REF!</v>
      </c>
      <c r="AE65" s="83" t="e">
        <f>COUNTIFS('SPC-CPN_Q&amp;A'!#REF!,W$1,'SPC-CPN_Q&amp;A'!#REF!,'Writing assignments'!$C65,'SPC-CPN_Q&amp;A'!$O:$O,"Application")</f>
        <v>#REF!</v>
      </c>
      <c r="AF65" s="83" t="e">
        <f>COUNTIFS('SPC-CPN_Q&amp;A'!#REF!,W$1,'SPC-CPN_Q&amp;A'!#REF!,'Writing assignments'!$C65,'SPC-CPN_Q&amp;A'!$O:$O,"Analysis")</f>
        <v>#REF!</v>
      </c>
      <c r="AG65" s="82" t="s">
        <v>71</v>
      </c>
      <c r="AH65" s="83">
        <v>2</v>
      </c>
      <c r="AI65" s="83">
        <v>0</v>
      </c>
      <c r="AJ65" s="83">
        <v>1</v>
      </c>
      <c r="AK65" s="84">
        <v>1</v>
      </c>
      <c r="AM65" s="83" t="e">
        <f t="shared" si="6"/>
        <v>#REF!</v>
      </c>
      <c r="AN65" s="83" t="e">
        <f>COUNTIFS('SPC-CPN_Q&amp;A'!#REF!,AG$1,'SPC-CPN_Q&amp;A'!#REF!,'Writing assignments'!$C65,'SPC-CPN_Q&amp;A'!$O:$O,"Recall")</f>
        <v>#REF!</v>
      </c>
      <c r="AO65" s="83" t="e">
        <f>COUNTIFS('SPC-CPN_Q&amp;A'!#REF!,AG$1,'SPC-CPN_Q&amp;A'!#REF!,'Writing assignments'!$C65,'SPC-CPN_Q&amp;A'!$O:$O,"Application")</f>
        <v>#REF!</v>
      </c>
      <c r="AP65" s="83" t="e">
        <f>COUNTIFS('SPC-CPN_Q&amp;A'!#REF!,AG$1,'SPC-CPN_Q&amp;A'!#REF!,'Writing assignments'!$C65,'SPC-CPN_Q&amp;A'!$O:$O,"Analysis")</f>
        <v>#REF!</v>
      </c>
      <c r="AQ65" s="82"/>
      <c r="AR65" s="83">
        <v>0</v>
      </c>
      <c r="AU65" s="84"/>
      <c r="BB65" s="83" t="e">
        <f t="shared" si="7"/>
        <v>#REF!</v>
      </c>
      <c r="BC65" s="83" t="e">
        <f>COUNTIFS('SPC-CPN_Q&amp;A'!#REF!,AV$1,'SPC-CPN_Q&amp;A'!#REF!,'Writing assignments'!$C65,'SPC-CPN_Q&amp;A'!$O:$O,"Recall")</f>
        <v>#REF!</v>
      </c>
      <c r="BD65" s="83" t="e">
        <f>COUNTIFS('SPC-CPN_Q&amp;A'!#REF!,AV$1,'SPC-CPN_Q&amp;A'!#REF!,'Writing assignments'!$C65,'SPC-CPN_Q&amp;A'!$O:$O,"Application")</f>
        <v>#REF!</v>
      </c>
      <c r="BE65" s="83" t="e">
        <f>COUNTIFS('SPC-CPN_Q&amp;A'!#REF!,AV$1,'SPC-CPN_Q&amp;A'!#REF!,'Writing assignments'!$C65,'SPC-CPN_Q&amp;A'!$O:$O,"Analysis")</f>
        <v>#REF!</v>
      </c>
      <c r="BF65" s="82"/>
      <c r="BJ65" s="84"/>
      <c r="BL65" s="83" t="e">
        <f t="shared" si="8"/>
        <v>#REF!</v>
      </c>
      <c r="BM65" s="83" t="e">
        <f>COUNTIFS('SPC-CPN_Q&amp;A'!#REF!,BF$1,'SPC-CPN_Q&amp;A'!#REF!,'Writing assignments'!$C65,'SPC-CPN_Q&amp;A'!$O:$O,"Recall")</f>
        <v>#REF!</v>
      </c>
      <c r="BN65" s="83" t="e">
        <f>COUNTIFS('SPC-CPN_Q&amp;A'!#REF!,BF$1,'SPC-CPN_Q&amp;A'!#REF!,'Writing assignments'!$C65,'SPC-CPN_Q&amp;A'!$O:$O,"Application")</f>
        <v>#REF!</v>
      </c>
      <c r="BO65" s="83" t="e">
        <f>COUNTIFS('SPC-CPN_Q&amp;A'!#REF!,BF$1,'SPC-CPN_Q&amp;A'!#REF!,'Writing assignments'!$C65,'SPC-CPN_Q&amp;A'!$O:$O,"Analysis")</f>
        <v>#REF!</v>
      </c>
      <c r="BP65" s="82"/>
      <c r="BT65" s="84"/>
      <c r="BV65" s="83" t="e">
        <f t="shared" si="9"/>
        <v>#REF!</v>
      </c>
      <c r="BW65" s="83" t="e">
        <f>COUNTIFS('SPC-CPN_Q&amp;A'!#REF!,BP$1,'SPC-CPN_Q&amp;A'!#REF!,'Writing assignments'!$C65,'SPC-CPN_Q&amp;A'!$O:$O,"Recall")</f>
        <v>#REF!</v>
      </c>
      <c r="BX65" s="83" t="e">
        <f>COUNTIFS('SPC-CPN_Q&amp;A'!#REF!,BP$1,'SPC-CPN_Q&amp;A'!#REF!,'Writing assignments'!$C65,'SPC-CPN_Q&amp;A'!$O:$O,"Application")</f>
        <v>#REF!</v>
      </c>
      <c r="BY65" s="83" t="e">
        <f>COUNTIFS('SPC-CPN_Q&amp;A'!#REF!,BP$1,'SPC-CPN_Q&amp;A'!#REF!,'Writing assignments'!$C65,'SPC-CPN_Q&amp;A'!$O:$O,"Analysis")</f>
        <v>#REF!</v>
      </c>
      <c r="CA65" s="83">
        <v>0</v>
      </c>
    </row>
    <row r="66" spans="2:79" x14ac:dyDescent="0.25">
      <c r="B66" s="74" t="s">
        <v>3614</v>
      </c>
      <c r="C66" s="74" t="s">
        <v>3639</v>
      </c>
      <c r="D66" s="6"/>
      <c r="E66" s="6">
        <v>0</v>
      </c>
      <c r="F66" s="6">
        <v>1</v>
      </c>
      <c r="G66" s="6">
        <v>1</v>
      </c>
      <c r="H66" s="6">
        <f t="shared" si="2"/>
        <v>2</v>
      </c>
      <c r="J66" s="42">
        <f t="shared" si="10"/>
        <v>0</v>
      </c>
      <c r="K66" s="82"/>
      <c r="L66" s="84">
        <v>0</v>
      </c>
      <c r="M66" s="82"/>
      <c r="N66" s="83">
        <f t="shared" si="3"/>
        <v>0</v>
      </c>
      <c r="S66" s="83" t="e">
        <f t="shared" si="4"/>
        <v>#REF!</v>
      </c>
      <c r="T66" s="83" t="e">
        <f>COUNTIFS('SPC-CPN_Q&amp;A'!#REF!,M$1,'SPC-CPN_Q&amp;A'!#REF!,'Writing assignments'!$C66,'SPC-CPN_Q&amp;A'!$O:$O,"Recall")</f>
        <v>#REF!</v>
      </c>
      <c r="U66" s="83" t="e">
        <f>COUNTIFS('SPC-CPN_Q&amp;A'!#REF!,M$1,'SPC-CPN_Q&amp;A'!#REF!,'Writing assignments'!$C66,'SPC-CPN_Q&amp;A'!$O:$O,"Application")</f>
        <v>#REF!</v>
      </c>
      <c r="V66" s="84" t="e">
        <f>COUNTIFS('SPC-CPN_Q&amp;A'!#REF!,M$1,'SPC-CPN_Q&amp;A'!#REF!,'Writing assignments'!$C66,'SPC-CPN_Q&amp;A'!$O:$O,"Analysis")</f>
        <v>#REF!</v>
      </c>
      <c r="AA66" s="84"/>
      <c r="AC66" s="83" t="e">
        <f t="shared" si="5"/>
        <v>#REF!</v>
      </c>
      <c r="AD66" s="83" t="e">
        <f>COUNTIFS('SPC-CPN_Q&amp;A'!#REF!,W$1,'SPC-CPN_Q&amp;A'!#REF!,'Writing assignments'!$C66,'SPC-CPN_Q&amp;A'!$O:$O,"Recall")</f>
        <v>#REF!</v>
      </c>
      <c r="AE66" s="83" t="e">
        <f>COUNTIFS('SPC-CPN_Q&amp;A'!#REF!,W$1,'SPC-CPN_Q&amp;A'!#REF!,'Writing assignments'!$C66,'SPC-CPN_Q&amp;A'!$O:$O,"Application")</f>
        <v>#REF!</v>
      </c>
      <c r="AF66" s="83" t="e">
        <f>COUNTIFS('SPC-CPN_Q&amp;A'!#REF!,W$1,'SPC-CPN_Q&amp;A'!#REF!,'Writing assignments'!$C66,'SPC-CPN_Q&amp;A'!$O:$O,"Analysis")</f>
        <v>#REF!</v>
      </c>
      <c r="AG66" s="82" t="s">
        <v>71</v>
      </c>
      <c r="AH66" s="83">
        <v>2</v>
      </c>
      <c r="AI66" s="83">
        <v>0</v>
      </c>
      <c r="AJ66" s="83">
        <v>1</v>
      </c>
      <c r="AK66" s="84">
        <v>1</v>
      </c>
      <c r="AM66" s="83" t="e">
        <f t="shared" si="6"/>
        <v>#REF!</v>
      </c>
      <c r="AN66" s="83" t="e">
        <f>COUNTIFS('SPC-CPN_Q&amp;A'!#REF!,AG$1,'SPC-CPN_Q&amp;A'!#REF!,'Writing assignments'!$C66,'SPC-CPN_Q&amp;A'!$O:$O,"Recall")</f>
        <v>#REF!</v>
      </c>
      <c r="AO66" s="83" t="e">
        <f>COUNTIFS('SPC-CPN_Q&amp;A'!#REF!,AG$1,'SPC-CPN_Q&amp;A'!#REF!,'Writing assignments'!$C66,'SPC-CPN_Q&amp;A'!$O:$O,"Application")</f>
        <v>#REF!</v>
      </c>
      <c r="AP66" s="83" t="e">
        <f>COUNTIFS('SPC-CPN_Q&amp;A'!#REF!,AG$1,'SPC-CPN_Q&amp;A'!#REF!,'Writing assignments'!$C66,'SPC-CPN_Q&amp;A'!$O:$O,"Analysis")</f>
        <v>#REF!</v>
      </c>
      <c r="AQ66" s="82"/>
      <c r="AR66" s="83">
        <v>0</v>
      </c>
      <c r="AU66" s="84"/>
      <c r="BB66" s="83" t="e">
        <f t="shared" si="7"/>
        <v>#REF!</v>
      </c>
      <c r="BC66" s="83" t="e">
        <f>COUNTIFS('SPC-CPN_Q&amp;A'!#REF!,AV$1,'SPC-CPN_Q&amp;A'!#REF!,'Writing assignments'!$C66,'SPC-CPN_Q&amp;A'!$O:$O,"Recall")</f>
        <v>#REF!</v>
      </c>
      <c r="BD66" s="83" t="e">
        <f>COUNTIFS('SPC-CPN_Q&amp;A'!#REF!,AV$1,'SPC-CPN_Q&amp;A'!#REF!,'Writing assignments'!$C66,'SPC-CPN_Q&amp;A'!$O:$O,"Application")</f>
        <v>#REF!</v>
      </c>
      <c r="BE66" s="83" t="e">
        <f>COUNTIFS('SPC-CPN_Q&amp;A'!#REF!,AV$1,'SPC-CPN_Q&amp;A'!#REF!,'Writing assignments'!$C66,'SPC-CPN_Q&amp;A'!$O:$O,"Analysis")</f>
        <v>#REF!</v>
      </c>
      <c r="BF66" s="82"/>
      <c r="BJ66" s="84"/>
      <c r="BL66" s="83" t="e">
        <f t="shared" si="8"/>
        <v>#REF!</v>
      </c>
      <c r="BM66" s="83" t="e">
        <f>COUNTIFS('SPC-CPN_Q&amp;A'!#REF!,BF$1,'SPC-CPN_Q&amp;A'!#REF!,'Writing assignments'!$C66,'SPC-CPN_Q&amp;A'!$O:$O,"Recall")</f>
        <v>#REF!</v>
      </c>
      <c r="BN66" s="83" t="e">
        <f>COUNTIFS('SPC-CPN_Q&amp;A'!#REF!,BF$1,'SPC-CPN_Q&amp;A'!#REF!,'Writing assignments'!$C66,'SPC-CPN_Q&amp;A'!$O:$O,"Application")</f>
        <v>#REF!</v>
      </c>
      <c r="BO66" s="83" t="e">
        <f>COUNTIFS('SPC-CPN_Q&amp;A'!#REF!,BF$1,'SPC-CPN_Q&amp;A'!#REF!,'Writing assignments'!$C66,'SPC-CPN_Q&amp;A'!$O:$O,"Analysis")</f>
        <v>#REF!</v>
      </c>
      <c r="BP66" s="82"/>
      <c r="BT66" s="84"/>
      <c r="BV66" s="83" t="e">
        <f t="shared" si="9"/>
        <v>#REF!</v>
      </c>
      <c r="BW66" s="83" t="e">
        <f>COUNTIFS('SPC-CPN_Q&amp;A'!#REF!,BP$1,'SPC-CPN_Q&amp;A'!#REF!,'Writing assignments'!$C66,'SPC-CPN_Q&amp;A'!$O:$O,"Recall")</f>
        <v>#REF!</v>
      </c>
      <c r="BX66" s="83" t="e">
        <f>COUNTIFS('SPC-CPN_Q&amp;A'!#REF!,BP$1,'SPC-CPN_Q&amp;A'!#REF!,'Writing assignments'!$C66,'SPC-CPN_Q&amp;A'!$O:$O,"Application")</f>
        <v>#REF!</v>
      </c>
      <c r="BY66" s="83" t="e">
        <f>COUNTIFS('SPC-CPN_Q&amp;A'!#REF!,BP$1,'SPC-CPN_Q&amp;A'!#REF!,'Writing assignments'!$C66,'SPC-CPN_Q&amp;A'!$O:$O,"Analysis")</f>
        <v>#REF!</v>
      </c>
      <c r="CA66" s="83">
        <v>0</v>
      </c>
    </row>
    <row r="67" spans="2:79" x14ac:dyDescent="0.25">
      <c r="B67" s="74" t="s">
        <v>3640</v>
      </c>
      <c r="C67" s="74" t="s">
        <v>3641</v>
      </c>
      <c r="D67" s="6"/>
      <c r="E67" s="6">
        <v>1</v>
      </c>
      <c r="F67" s="6">
        <v>2</v>
      </c>
      <c r="G67" s="6">
        <v>1</v>
      </c>
      <c r="H67" s="6">
        <f t="shared" si="2"/>
        <v>4</v>
      </c>
      <c r="J67" s="42">
        <f t="shared" si="10"/>
        <v>0</v>
      </c>
      <c r="K67" s="82" t="s">
        <v>71</v>
      </c>
      <c r="L67" s="84">
        <v>1</v>
      </c>
      <c r="M67" s="82"/>
      <c r="N67" s="83">
        <f t="shared" si="3"/>
        <v>0</v>
      </c>
      <c r="S67" s="83" t="e">
        <f t="shared" si="4"/>
        <v>#REF!</v>
      </c>
      <c r="T67" s="83" t="e">
        <f>COUNTIFS('SPC-CPN_Q&amp;A'!#REF!,M$1,'SPC-CPN_Q&amp;A'!#REF!,'Writing assignments'!$C67,'SPC-CPN_Q&amp;A'!$O:$O,"Recall")</f>
        <v>#REF!</v>
      </c>
      <c r="U67" s="83" t="e">
        <f>COUNTIFS('SPC-CPN_Q&amp;A'!#REF!,M$1,'SPC-CPN_Q&amp;A'!#REF!,'Writing assignments'!$C67,'SPC-CPN_Q&amp;A'!$O:$O,"Application")</f>
        <v>#REF!</v>
      </c>
      <c r="V67" s="84" t="e">
        <f>COUNTIFS('SPC-CPN_Q&amp;A'!#REF!,M$1,'SPC-CPN_Q&amp;A'!#REF!,'Writing assignments'!$C67,'SPC-CPN_Q&amp;A'!$O:$O,"Analysis")</f>
        <v>#REF!</v>
      </c>
      <c r="AA67" s="84"/>
      <c r="AC67" s="83" t="e">
        <f t="shared" si="5"/>
        <v>#REF!</v>
      </c>
      <c r="AD67" s="83" t="e">
        <f>COUNTIFS('SPC-CPN_Q&amp;A'!#REF!,W$1,'SPC-CPN_Q&amp;A'!#REF!,'Writing assignments'!$C67,'SPC-CPN_Q&amp;A'!$O:$O,"Recall")</f>
        <v>#REF!</v>
      </c>
      <c r="AE67" s="83" t="e">
        <f>COUNTIFS('SPC-CPN_Q&amp;A'!#REF!,W$1,'SPC-CPN_Q&amp;A'!#REF!,'Writing assignments'!$C67,'SPC-CPN_Q&amp;A'!$O:$O,"Application")</f>
        <v>#REF!</v>
      </c>
      <c r="AF67" s="83" t="e">
        <f>COUNTIFS('SPC-CPN_Q&amp;A'!#REF!,W$1,'SPC-CPN_Q&amp;A'!#REF!,'Writing assignments'!$C67,'SPC-CPN_Q&amp;A'!$O:$O,"Analysis")</f>
        <v>#REF!</v>
      </c>
      <c r="AG67" s="82"/>
      <c r="AK67" s="84"/>
      <c r="AM67" s="83" t="e">
        <f t="shared" si="6"/>
        <v>#REF!</v>
      </c>
      <c r="AN67" s="83" t="e">
        <f>COUNTIFS('SPC-CPN_Q&amp;A'!#REF!,AG$1,'SPC-CPN_Q&amp;A'!#REF!,'Writing assignments'!$C67,'SPC-CPN_Q&amp;A'!$O:$O,"Recall")</f>
        <v>#REF!</v>
      </c>
      <c r="AO67" s="83" t="e">
        <f>COUNTIFS('SPC-CPN_Q&amp;A'!#REF!,AG$1,'SPC-CPN_Q&amp;A'!#REF!,'Writing assignments'!$C67,'SPC-CPN_Q&amp;A'!$O:$O,"Application")</f>
        <v>#REF!</v>
      </c>
      <c r="AP67" s="83" t="e">
        <f>COUNTIFS('SPC-CPN_Q&amp;A'!#REF!,AG$1,'SPC-CPN_Q&amp;A'!#REF!,'Writing assignments'!$C67,'SPC-CPN_Q&amp;A'!$O:$O,"Analysis")</f>
        <v>#REF!</v>
      </c>
      <c r="AQ67" s="82"/>
      <c r="AR67" s="83">
        <v>0</v>
      </c>
      <c r="AU67" s="84"/>
      <c r="BB67" s="83" t="e">
        <f t="shared" si="7"/>
        <v>#REF!</v>
      </c>
      <c r="BC67" s="83" t="e">
        <f>COUNTIFS('SPC-CPN_Q&amp;A'!#REF!,AV$1,'SPC-CPN_Q&amp;A'!#REF!,'Writing assignments'!$C67,'SPC-CPN_Q&amp;A'!$O:$O,"Recall")</f>
        <v>#REF!</v>
      </c>
      <c r="BD67" s="83" t="e">
        <f>COUNTIFS('SPC-CPN_Q&amp;A'!#REF!,AV$1,'SPC-CPN_Q&amp;A'!#REF!,'Writing assignments'!$C67,'SPC-CPN_Q&amp;A'!$O:$O,"Application")</f>
        <v>#REF!</v>
      </c>
      <c r="BE67" s="83" t="e">
        <f>COUNTIFS('SPC-CPN_Q&amp;A'!#REF!,AV$1,'SPC-CPN_Q&amp;A'!#REF!,'Writing assignments'!$C67,'SPC-CPN_Q&amp;A'!$O:$O,"Analysis")</f>
        <v>#REF!</v>
      </c>
      <c r="BF67" s="82"/>
      <c r="BJ67" s="84"/>
      <c r="BL67" s="83" t="e">
        <f t="shared" si="8"/>
        <v>#REF!</v>
      </c>
      <c r="BM67" s="83" t="e">
        <f>COUNTIFS('SPC-CPN_Q&amp;A'!#REF!,BF$1,'SPC-CPN_Q&amp;A'!#REF!,'Writing assignments'!$C67,'SPC-CPN_Q&amp;A'!$O:$O,"Recall")</f>
        <v>#REF!</v>
      </c>
      <c r="BN67" s="83" t="e">
        <f>COUNTIFS('SPC-CPN_Q&amp;A'!#REF!,BF$1,'SPC-CPN_Q&amp;A'!#REF!,'Writing assignments'!$C67,'SPC-CPN_Q&amp;A'!$O:$O,"Application")</f>
        <v>#REF!</v>
      </c>
      <c r="BO67" s="83" t="e">
        <f>COUNTIFS('SPC-CPN_Q&amp;A'!#REF!,BF$1,'SPC-CPN_Q&amp;A'!#REF!,'Writing assignments'!$C67,'SPC-CPN_Q&amp;A'!$O:$O,"Analysis")</f>
        <v>#REF!</v>
      </c>
      <c r="BP67" s="82" t="s">
        <v>71</v>
      </c>
      <c r="BQ67" s="83">
        <v>3</v>
      </c>
      <c r="BR67" s="83">
        <v>1</v>
      </c>
      <c r="BS67" s="83">
        <v>1</v>
      </c>
      <c r="BT67" s="84">
        <v>1</v>
      </c>
      <c r="BV67" s="83" t="e">
        <f t="shared" si="9"/>
        <v>#REF!</v>
      </c>
      <c r="BW67" s="83" t="e">
        <f>COUNTIFS('SPC-CPN_Q&amp;A'!#REF!,BP$1,'SPC-CPN_Q&amp;A'!#REF!,'Writing assignments'!$C67,'SPC-CPN_Q&amp;A'!$O:$O,"Recall")</f>
        <v>#REF!</v>
      </c>
      <c r="BX67" s="83" t="e">
        <f>COUNTIFS('SPC-CPN_Q&amp;A'!#REF!,BP$1,'SPC-CPN_Q&amp;A'!#REF!,'Writing assignments'!$C67,'SPC-CPN_Q&amp;A'!$O:$O,"Application")</f>
        <v>#REF!</v>
      </c>
      <c r="BY67" s="83" t="e">
        <f>COUNTIFS('SPC-CPN_Q&amp;A'!#REF!,BP$1,'SPC-CPN_Q&amp;A'!#REF!,'Writing assignments'!$C67,'SPC-CPN_Q&amp;A'!$O:$O,"Analysis")</f>
        <v>#REF!</v>
      </c>
      <c r="CA67" s="83">
        <v>0</v>
      </c>
    </row>
    <row r="68" spans="2:79" x14ac:dyDescent="0.25">
      <c r="B68" s="74" t="s">
        <v>3640</v>
      </c>
      <c r="C68" s="74" t="s">
        <v>3642</v>
      </c>
      <c r="D68" s="6"/>
      <c r="E68" s="6">
        <v>1</v>
      </c>
      <c r="F68" s="6">
        <v>2</v>
      </c>
      <c r="G68" s="6">
        <v>1</v>
      </c>
      <c r="H68" s="6">
        <f t="shared" si="2"/>
        <v>4</v>
      </c>
      <c r="J68" s="42">
        <f t="shared" si="10"/>
        <v>0</v>
      </c>
      <c r="K68" s="82" t="s">
        <v>71</v>
      </c>
      <c r="L68" s="84">
        <v>1</v>
      </c>
      <c r="M68" s="82"/>
      <c r="N68" s="83">
        <f t="shared" si="3"/>
        <v>0</v>
      </c>
      <c r="S68" s="83" t="e">
        <f t="shared" si="4"/>
        <v>#REF!</v>
      </c>
      <c r="T68" s="83" t="e">
        <f>COUNTIFS('SPC-CPN_Q&amp;A'!#REF!,M$1,'SPC-CPN_Q&amp;A'!#REF!,'Writing assignments'!$C68,'SPC-CPN_Q&amp;A'!$O:$O,"Recall")</f>
        <v>#REF!</v>
      </c>
      <c r="U68" s="83" t="e">
        <f>COUNTIFS('SPC-CPN_Q&amp;A'!#REF!,M$1,'SPC-CPN_Q&amp;A'!#REF!,'Writing assignments'!$C68,'SPC-CPN_Q&amp;A'!$O:$O,"Application")</f>
        <v>#REF!</v>
      </c>
      <c r="V68" s="84" t="e">
        <f>COUNTIFS('SPC-CPN_Q&amp;A'!#REF!,M$1,'SPC-CPN_Q&amp;A'!#REF!,'Writing assignments'!$C68,'SPC-CPN_Q&amp;A'!$O:$O,"Analysis")</f>
        <v>#REF!</v>
      </c>
      <c r="AA68" s="84"/>
      <c r="AC68" s="83" t="e">
        <f t="shared" si="5"/>
        <v>#REF!</v>
      </c>
      <c r="AD68" s="83" t="e">
        <f>COUNTIFS('SPC-CPN_Q&amp;A'!#REF!,W$1,'SPC-CPN_Q&amp;A'!#REF!,'Writing assignments'!$C68,'SPC-CPN_Q&amp;A'!$O:$O,"Recall")</f>
        <v>#REF!</v>
      </c>
      <c r="AE68" s="83" t="e">
        <f>COUNTIFS('SPC-CPN_Q&amp;A'!#REF!,W$1,'SPC-CPN_Q&amp;A'!#REF!,'Writing assignments'!$C68,'SPC-CPN_Q&amp;A'!$O:$O,"Application")</f>
        <v>#REF!</v>
      </c>
      <c r="AF68" s="83" t="e">
        <f>COUNTIFS('SPC-CPN_Q&amp;A'!#REF!,W$1,'SPC-CPN_Q&amp;A'!#REF!,'Writing assignments'!$C68,'SPC-CPN_Q&amp;A'!$O:$O,"Analysis")</f>
        <v>#REF!</v>
      </c>
      <c r="AG68" s="82"/>
      <c r="AK68" s="84"/>
      <c r="AM68" s="83" t="e">
        <f t="shared" si="6"/>
        <v>#REF!</v>
      </c>
      <c r="AN68" s="83" t="e">
        <f>COUNTIFS('SPC-CPN_Q&amp;A'!#REF!,AG$1,'SPC-CPN_Q&amp;A'!#REF!,'Writing assignments'!$C68,'SPC-CPN_Q&amp;A'!$O:$O,"Recall")</f>
        <v>#REF!</v>
      </c>
      <c r="AO68" s="83" t="e">
        <f>COUNTIFS('SPC-CPN_Q&amp;A'!#REF!,AG$1,'SPC-CPN_Q&amp;A'!#REF!,'Writing assignments'!$C68,'SPC-CPN_Q&amp;A'!$O:$O,"Application")</f>
        <v>#REF!</v>
      </c>
      <c r="AP68" s="83" t="e">
        <f>COUNTIFS('SPC-CPN_Q&amp;A'!#REF!,AG$1,'SPC-CPN_Q&amp;A'!#REF!,'Writing assignments'!$C68,'SPC-CPN_Q&amp;A'!$O:$O,"Analysis")</f>
        <v>#REF!</v>
      </c>
      <c r="AQ68" s="82"/>
      <c r="AR68" s="83">
        <v>0</v>
      </c>
      <c r="AU68" s="84"/>
      <c r="BB68" s="83" t="e">
        <f t="shared" si="7"/>
        <v>#REF!</v>
      </c>
      <c r="BC68" s="83" t="e">
        <f>COUNTIFS('SPC-CPN_Q&amp;A'!#REF!,AV$1,'SPC-CPN_Q&amp;A'!#REF!,'Writing assignments'!$C68,'SPC-CPN_Q&amp;A'!$O:$O,"Recall")</f>
        <v>#REF!</v>
      </c>
      <c r="BD68" s="83" t="e">
        <f>COUNTIFS('SPC-CPN_Q&amp;A'!#REF!,AV$1,'SPC-CPN_Q&amp;A'!#REF!,'Writing assignments'!$C68,'SPC-CPN_Q&amp;A'!$O:$O,"Application")</f>
        <v>#REF!</v>
      </c>
      <c r="BE68" s="83" t="e">
        <f>COUNTIFS('SPC-CPN_Q&amp;A'!#REF!,AV$1,'SPC-CPN_Q&amp;A'!#REF!,'Writing assignments'!$C68,'SPC-CPN_Q&amp;A'!$O:$O,"Analysis")</f>
        <v>#REF!</v>
      </c>
      <c r="BF68" s="82"/>
      <c r="BJ68" s="84"/>
      <c r="BL68" s="83" t="e">
        <f t="shared" si="8"/>
        <v>#REF!</v>
      </c>
      <c r="BM68" s="83" t="e">
        <f>COUNTIFS('SPC-CPN_Q&amp;A'!#REF!,BF$1,'SPC-CPN_Q&amp;A'!#REF!,'Writing assignments'!$C68,'SPC-CPN_Q&amp;A'!$O:$O,"Recall")</f>
        <v>#REF!</v>
      </c>
      <c r="BN68" s="83" t="e">
        <f>COUNTIFS('SPC-CPN_Q&amp;A'!#REF!,BF$1,'SPC-CPN_Q&amp;A'!#REF!,'Writing assignments'!$C68,'SPC-CPN_Q&amp;A'!$O:$O,"Application")</f>
        <v>#REF!</v>
      </c>
      <c r="BO68" s="83" t="e">
        <f>COUNTIFS('SPC-CPN_Q&amp;A'!#REF!,BF$1,'SPC-CPN_Q&amp;A'!#REF!,'Writing assignments'!$C68,'SPC-CPN_Q&amp;A'!$O:$O,"Analysis")</f>
        <v>#REF!</v>
      </c>
      <c r="BP68" s="82" t="s">
        <v>71</v>
      </c>
      <c r="BQ68" s="83">
        <v>3</v>
      </c>
      <c r="BR68" s="83">
        <v>0</v>
      </c>
      <c r="BS68" s="83">
        <v>2</v>
      </c>
      <c r="BT68" s="84">
        <v>1</v>
      </c>
      <c r="BV68" s="83" t="e">
        <f t="shared" si="9"/>
        <v>#REF!</v>
      </c>
      <c r="BW68" s="83" t="e">
        <f>COUNTIFS('SPC-CPN_Q&amp;A'!#REF!,BP$1,'SPC-CPN_Q&amp;A'!#REF!,'Writing assignments'!$C68,'SPC-CPN_Q&amp;A'!$O:$O,"Recall")</f>
        <v>#REF!</v>
      </c>
      <c r="BX68" s="83" t="e">
        <f>COUNTIFS('SPC-CPN_Q&amp;A'!#REF!,BP$1,'SPC-CPN_Q&amp;A'!#REF!,'Writing assignments'!$C68,'SPC-CPN_Q&amp;A'!$O:$O,"Application")</f>
        <v>#REF!</v>
      </c>
      <c r="BY68" s="83" t="e">
        <f>COUNTIFS('SPC-CPN_Q&amp;A'!#REF!,BP$1,'SPC-CPN_Q&amp;A'!#REF!,'Writing assignments'!$C68,'SPC-CPN_Q&amp;A'!$O:$O,"Analysis")</f>
        <v>#REF!</v>
      </c>
      <c r="CA68" s="83">
        <v>0</v>
      </c>
    </row>
    <row r="69" spans="2:79" x14ac:dyDescent="0.25">
      <c r="B69" s="74" t="s">
        <v>3640</v>
      </c>
      <c r="C69" s="74" t="s">
        <v>3643</v>
      </c>
      <c r="D69" s="6"/>
      <c r="E69" s="6">
        <v>1</v>
      </c>
      <c r="F69" s="6">
        <v>2</v>
      </c>
      <c r="G69" s="6">
        <v>1</v>
      </c>
      <c r="H69" s="6">
        <f t="shared" si="2"/>
        <v>4</v>
      </c>
      <c r="J69" s="42">
        <f t="shared" ref="J69:J98" si="11">H69-SUM(N69,X69,AH69,AW69,BG69,BQ69,L69,CA69)</f>
        <v>0</v>
      </c>
      <c r="K69" s="82" t="s">
        <v>71</v>
      </c>
      <c r="L69" s="84">
        <v>1</v>
      </c>
      <c r="M69" s="82"/>
      <c r="N69" s="83">
        <f t="shared" si="3"/>
        <v>0</v>
      </c>
      <c r="S69" s="83" t="e">
        <f t="shared" si="4"/>
        <v>#REF!</v>
      </c>
      <c r="T69" s="83" t="e">
        <f>COUNTIFS('SPC-CPN_Q&amp;A'!#REF!,M$1,'SPC-CPN_Q&amp;A'!#REF!,'Writing assignments'!$C69,'SPC-CPN_Q&amp;A'!$O:$O,"Recall")</f>
        <v>#REF!</v>
      </c>
      <c r="U69" s="83" t="e">
        <f>COUNTIFS('SPC-CPN_Q&amp;A'!#REF!,M$1,'SPC-CPN_Q&amp;A'!#REF!,'Writing assignments'!$C69,'SPC-CPN_Q&amp;A'!$O:$O,"Application")</f>
        <v>#REF!</v>
      </c>
      <c r="V69" s="84" t="e">
        <f>COUNTIFS('SPC-CPN_Q&amp;A'!#REF!,M$1,'SPC-CPN_Q&amp;A'!#REF!,'Writing assignments'!$C69,'SPC-CPN_Q&amp;A'!$O:$O,"Analysis")</f>
        <v>#REF!</v>
      </c>
      <c r="AA69" s="84"/>
      <c r="AC69" s="83" t="e">
        <f t="shared" si="5"/>
        <v>#REF!</v>
      </c>
      <c r="AD69" s="83" t="e">
        <f>COUNTIFS('SPC-CPN_Q&amp;A'!#REF!,W$1,'SPC-CPN_Q&amp;A'!#REF!,'Writing assignments'!$C69,'SPC-CPN_Q&amp;A'!$O:$O,"Recall")</f>
        <v>#REF!</v>
      </c>
      <c r="AE69" s="83" t="e">
        <f>COUNTIFS('SPC-CPN_Q&amp;A'!#REF!,W$1,'SPC-CPN_Q&amp;A'!#REF!,'Writing assignments'!$C69,'SPC-CPN_Q&amp;A'!$O:$O,"Application")</f>
        <v>#REF!</v>
      </c>
      <c r="AF69" s="83" t="e">
        <f>COUNTIFS('SPC-CPN_Q&amp;A'!#REF!,W$1,'SPC-CPN_Q&amp;A'!#REF!,'Writing assignments'!$C69,'SPC-CPN_Q&amp;A'!$O:$O,"Analysis")</f>
        <v>#REF!</v>
      </c>
      <c r="AG69" s="82"/>
      <c r="AK69" s="84"/>
      <c r="AM69" s="83" t="e">
        <f t="shared" si="6"/>
        <v>#REF!</v>
      </c>
      <c r="AN69" s="83" t="e">
        <f>COUNTIFS('SPC-CPN_Q&amp;A'!#REF!,AG$1,'SPC-CPN_Q&amp;A'!#REF!,'Writing assignments'!$C69,'SPC-CPN_Q&amp;A'!$O:$O,"Recall")</f>
        <v>#REF!</v>
      </c>
      <c r="AO69" s="83" t="e">
        <f>COUNTIFS('SPC-CPN_Q&amp;A'!#REF!,AG$1,'SPC-CPN_Q&amp;A'!#REF!,'Writing assignments'!$C69,'SPC-CPN_Q&amp;A'!$O:$O,"Application")</f>
        <v>#REF!</v>
      </c>
      <c r="AP69" s="83" t="e">
        <f>COUNTIFS('SPC-CPN_Q&amp;A'!#REF!,AG$1,'SPC-CPN_Q&amp;A'!#REF!,'Writing assignments'!$C69,'SPC-CPN_Q&amp;A'!$O:$O,"Analysis")</f>
        <v>#REF!</v>
      </c>
      <c r="AQ69" s="82"/>
      <c r="AR69" s="83">
        <v>0</v>
      </c>
      <c r="AU69" s="84"/>
      <c r="BB69" s="83" t="e">
        <f t="shared" si="7"/>
        <v>#REF!</v>
      </c>
      <c r="BC69" s="83" t="e">
        <f>COUNTIFS('SPC-CPN_Q&amp;A'!#REF!,AV$1,'SPC-CPN_Q&amp;A'!#REF!,'Writing assignments'!$C69,'SPC-CPN_Q&amp;A'!$O:$O,"Recall")</f>
        <v>#REF!</v>
      </c>
      <c r="BD69" s="83" t="e">
        <f>COUNTIFS('SPC-CPN_Q&amp;A'!#REF!,AV$1,'SPC-CPN_Q&amp;A'!#REF!,'Writing assignments'!$C69,'SPC-CPN_Q&amp;A'!$O:$O,"Application")</f>
        <v>#REF!</v>
      </c>
      <c r="BE69" s="83" t="e">
        <f>COUNTIFS('SPC-CPN_Q&amp;A'!#REF!,AV$1,'SPC-CPN_Q&amp;A'!#REF!,'Writing assignments'!$C69,'SPC-CPN_Q&amp;A'!$O:$O,"Analysis")</f>
        <v>#REF!</v>
      </c>
      <c r="BF69" s="82"/>
      <c r="BJ69" s="84"/>
      <c r="BL69" s="83" t="e">
        <f t="shared" si="8"/>
        <v>#REF!</v>
      </c>
      <c r="BM69" s="83" t="e">
        <f>COUNTIFS('SPC-CPN_Q&amp;A'!#REF!,BF$1,'SPC-CPN_Q&amp;A'!#REF!,'Writing assignments'!$C69,'SPC-CPN_Q&amp;A'!$O:$O,"Recall")</f>
        <v>#REF!</v>
      </c>
      <c r="BN69" s="83" t="e">
        <f>COUNTIFS('SPC-CPN_Q&amp;A'!#REF!,BF$1,'SPC-CPN_Q&amp;A'!#REF!,'Writing assignments'!$C69,'SPC-CPN_Q&amp;A'!$O:$O,"Application")</f>
        <v>#REF!</v>
      </c>
      <c r="BO69" s="83" t="e">
        <f>COUNTIFS('SPC-CPN_Q&amp;A'!#REF!,BF$1,'SPC-CPN_Q&amp;A'!#REF!,'Writing assignments'!$C69,'SPC-CPN_Q&amp;A'!$O:$O,"Analysis")</f>
        <v>#REF!</v>
      </c>
      <c r="BP69" s="82" t="s">
        <v>71</v>
      </c>
      <c r="BQ69" s="83">
        <v>3</v>
      </c>
      <c r="BR69" s="83">
        <v>0</v>
      </c>
      <c r="BS69" s="83">
        <v>2</v>
      </c>
      <c r="BT69" s="84">
        <v>1</v>
      </c>
      <c r="BV69" s="83" t="e">
        <f t="shared" si="9"/>
        <v>#REF!</v>
      </c>
      <c r="BW69" s="83" t="e">
        <f>COUNTIFS('SPC-CPN_Q&amp;A'!#REF!,BP$1,'SPC-CPN_Q&amp;A'!#REF!,'Writing assignments'!$C69,'SPC-CPN_Q&amp;A'!$O:$O,"Recall")</f>
        <v>#REF!</v>
      </c>
      <c r="BX69" s="83" t="e">
        <f>COUNTIFS('SPC-CPN_Q&amp;A'!#REF!,BP$1,'SPC-CPN_Q&amp;A'!#REF!,'Writing assignments'!$C69,'SPC-CPN_Q&amp;A'!$O:$O,"Application")</f>
        <v>#REF!</v>
      </c>
      <c r="BY69" s="83" t="e">
        <f>COUNTIFS('SPC-CPN_Q&amp;A'!#REF!,BP$1,'SPC-CPN_Q&amp;A'!#REF!,'Writing assignments'!$C69,'SPC-CPN_Q&amp;A'!$O:$O,"Analysis")</f>
        <v>#REF!</v>
      </c>
      <c r="CA69" s="83">
        <v>0</v>
      </c>
    </row>
    <row r="70" spans="2:79" x14ac:dyDescent="0.25">
      <c r="B70" s="74" t="s">
        <v>3640</v>
      </c>
      <c r="C70" s="74" t="s">
        <v>3644</v>
      </c>
      <c r="D70" s="6"/>
      <c r="E70" s="6">
        <v>1</v>
      </c>
      <c r="F70" s="6">
        <v>2</v>
      </c>
      <c r="G70" s="6">
        <v>1</v>
      </c>
      <c r="H70" s="6">
        <f t="shared" ref="H70:H98" si="12">SUM(E70:G70)</f>
        <v>4</v>
      </c>
      <c r="J70" s="42">
        <f t="shared" si="11"/>
        <v>0</v>
      </c>
      <c r="K70" s="82" t="s">
        <v>71</v>
      </c>
      <c r="L70" s="84">
        <v>1</v>
      </c>
      <c r="M70" s="82"/>
      <c r="N70" s="83">
        <f t="shared" ref="N70:N98" si="13">SUM(O70:Q70)</f>
        <v>0</v>
      </c>
      <c r="S70" s="83" t="e">
        <f t="shared" ref="S70:S98" si="14">SUM(T70:V70)</f>
        <v>#REF!</v>
      </c>
      <c r="T70" s="83" t="e">
        <f>COUNTIFS('SPC-CPN_Q&amp;A'!#REF!,M$1,'SPC-CPN_Q&amp;A'!#REF!,'Writing assignments'!$C70,'SPC-CPN_Q&amp;A'!$O:$O,"Recall")</f>
        <v>#REF!</v>
      </c>
      <c r="U70" s="83" t="e">
        <f>COUNTIFS('SPC-CPN_Q&amp;A'!#REF!,M$1,'SPC-CPN_Q&amp;A'!#REF!,'Writing assignments'!$C70,'SPC-CPN_Q&amp;A'!$O:$O,"Application")</f>
        <v>#REF!</v>
      </c>
      <c r="V70" s="84" t="e">
        <f>COUNTIFS('SPC-CPN_Q&amp;A'!#REF!,M$1,'SPC-CPN_Q&amp;A'!#REF!,'Writing assignments'!$C70,'SPC-CPN_Q&amp;A'!$O:$O,"Analysis")</f>
        <v>#REF!</v>
      </c>
      <c r="AA70" s="84"/>
      <c r="AC70" s="83" t="e">
        <f t="shared" ref="AC70:AC98" si="15">SUM(AD70:AF70)</f>
        <v>#REF!</v>
      </c>
      <c r="AD70" s="83" t="e">
        <f>COUNTIFS('SPC-CPN_Q&amp;A'!#REF!,W$1,'SPC-CPN_Q&amp;A'!#REF!,'Writing assignments'!$C70,'SPC-CPN_Q&amp;A'!$O:$O,"Recall")</f>
        <v>#REF!</v>
      </c>
      <c r="AE70" s="83" t="e">
        <f>COUNTIFS('SPC-CPN_Q&amp;A'!#REF!,W$1,'SPC-CPN_Q&amp;A'!#REF!,'Writing assignments'!$C70,'SPC-CPN_Q&amp;A'!$O:$O,"Application")</f>
        <v>#REF!</v>
      </c>
      <c r="AF70" s="83" t="e">
        <f>COUNTIFS('SPC-CPN_Q&amp;A'!#REF!,W$1,'SPC-CPN_Q&amp;A'!#REF!,'Writing assignments'!$C70,'SPC-CPN_Q&amp;A'!$O:$O,"Analysis")</f>
        <v>#REF!</v>
      </c>
      <c r="AG70" s="82"/>
      <c r="AK70" s="84"/>
      <c r="AM70" s="83" t="e">
        <f t="shared" ref="AM70:AM98" si="16">SUM(AN70:AP70)</f>
        <v>#REF!</v>
      </c>
      <c r="AN70" s="83" t="e">
        <f>COUNTIFS('SPC-CPN_Q&amp;A'!#REF!,AG$1,'SPC-CPN_Q&amp;A'!#REF!,'Writing assignments'!$C70,'SPC-CPN_Q&amp;A'!$O:$O,"Recall")</f>
        <v>#REF!</v>
      </c>
      <c r="AO70" s="83" t="e">
        <f>COUNTIFS('SPC-CPN_Q&amp;A'!#REF!,AG$1,'SPC-CPN_Q&amp;A'!#REF!,'Writing assignments'!$C70,'SPC-CPN_Q&amp;A'!$O:$O,"Application")</f>
        <v>#REF!</v>
      </c>
      <c r="AP70" s="83" t="e">
        <f>COUNTIFS('SPC-CPN_Q&amp;A'!#REF!,AG$1,'SPC-CPN_Q&amp;A'!#REF!,'Writing assignments'!$C70,'SPC-CPN_Q&amp;A'!$O:$O,"Analysis")</f>
        <v>#REF!</v>
      </c>
      <c r="AQ70" s="82"/>
      <c r="AR70" s="83">
        <v>0</v>
      </c>
      <c r="AU70" s="84"/>
      <c r="BB70" s="83" t="e">
        <f t="shared" ref="BB70:BB98" si="17">SUM(BC70:BE70)</f>
        <v>#REF!</v>
      </c>
      <c r="BC70" s="83" t="e">
        <f>COUNTIFS('SPC-CPN_Q&amp;A'!#REF!,AV$1,'SPC-CPN_Q&amp;A'!#REF!,'Writing assignments'!$C70,'SPC-CPN_Q&amp;A'!$O:$O,"Recall")</f>
        <v>#REF!</v>
      </c>
      <c r="BD70" s="83" t="e">
        <f>COUNTIFS('SPC-CPN_Q&amp;A'!#REF!,AV$1,'SPC-CPN_Q&amp;A'!#REF!,'Writing assignments'!$C70,'SPC-CPN_Q&amp;A'!$O:$O,"Application")</f>
        <v>#REF!</v>
      </c>
      <c r="BE70" s="83" t="e">
        <f>COUNTIFS('SPC-CPN_Q&amp;A'!#REF!,AV$1,'SPC-CPN_Q&amp;A'!#REF!,'Writing assignments'!$C70,'SPC-CPN_Q&amp;A'!$O:$O,"Analysis")</f>
        <v>#REF!</v>
      </c>
      <c r="BF70" s="82"/>
      <c r="BJ70" s="84"/>
      <c r="BL70" s="83" t="e">
        <f t="shared" ref="BL70:BL98" si="18">SUM(BM70:BO70)</f>
        <v>#REF!</v>
      </c>
      <c r="BM70" s="83" t="e">
        <f>COUNTIFS('SPC-CPN_Q&amp;A'!#REF!,BF$1,'SPC-CPN_Q&amp;A'!#REF!,'Writing assignments'!$C70,'SPC-CPN_Q&amp;A'!$O:$O,"Recall")</f>
        <v>#REF!</v>
      </c>
      <c r="BN70" s="83" t="e">
        <f>COUNTIFS('SPC-CPN_Q&amp;A'!#REF!,BF$1,'SPC-CPN_Q&amp;A'!#REF!,'Writing assignments'!$C70,'SPC-CPN_Q&amp;A'!$O:$O,"Application")</f>
        <v>#REF!</v>
      </c>
      <c r="BO70" s="83" t="e">
        <f>COUNTIFS('SPC-CPN_Q&amp;A'!#REF!,BF$1,'SPC-CPN_Q&amp;A'!#REF!,'Writing assignments'!$C70,'SPC-CPN_Q&amp;A'!$O:$O,"Analysis")</f>
        <v>#REF!</v>
      </c>
      <c r="BP70" s="82" t="s">
        <v>71</v>
      </c>
      <c r="BQ70" s="83">
        <v>3</v>
      </c>
      <c r="BR70" s="83">
        <v>1</v>
      </c>
      <c r="BS70" s="83">
        <v>1</v>
      </c>
      <c r="BT70" s="84">
        <v>1</v>
      </c>
      <c r="BV70" s="83" t="e">
        <f t="shared" ref="BV70:BV98" si="19">SUM(BW70:BY70)</f>
        <v>#REF!</v>
      </c>
      <c r="BW70" s="83" t="e">
        <f>COUNTIFS('SPC-CPN_Q&amp;A'!#REF!,BP$1,'SPC-CPN_Q&amp;A'!#REF!,'Writing assignments'!$C70,'SPC-CPN_Q&amp;A'!$O:$O,"Recall")</f>
        <v>#REF!</v>
      </c>
      <c r="BX70" s="83" t="e">
        <f>COUNTIFS('SPC-CPN_Q&amp;A'!#REF!,BP$1,'SPC-CPN_Q&amp;A'!#REF!,'Writing assignments'!$C70,'SPC-CPN_Q&amp;A'!$O:$O,"Application")</f>
        <v>#REF!</v>
      </c>
      <c r="BY70" s="83" t="e">
        <f>COUNTIFS('SPC-CPN_Q&amp;A'!#REF!,BP$1,'SPC-CPN_Q&amp;A'!#REF!,'Writing assignments'!$C70,'SPC-CPN_Q&amp;A'!$O:$O,"Analysis")</f>
        <v>#REF!</v>
      </c>
      <c r="CA70" s="83">
        <v>0</v>
      </c>
    </row>
    <row r="71" spans="2:79" x14ac:dyDescent="0.25">
      <c r="B71" s="74" t="s">
        <v>3640</v>
      </c>
      <c r="C71" s="74" t="s">
        <v>3645</v>
      </c>
      <c r="D71" s="6"/>
      <c r="E71" s="6">
        <v>1</v>
      </c>
      <c r="F71" s="6">
        <v>3</v>
      </c>
      <c r="G71" s="6">
        <v>0</v>
      </c>
      <c r="H71" s="6">
        <f t="shared" si="12"/>
        <v>4</v>
      </c>
      <c r="J71" s="42">
        <f t="shared" si="11"/>
        <v>0</v>
      </c>
      <c r="K71" s="82" t="s">
        <v>71</v>
      </c>
      <c r="L71" s="84">
        <v>1</v>
      </c>
      <c r="M71" s="82"/>
      <c r="N71" s="83">
        <f t="shared" si="13"/>
        <v>0</v>
      </c>
      <c r="S71" s="83" t="e">
        <f t="shared" si="14"/>
        <v>#REF!</v>
      </c>
      <c r="T71" s="83" t="e">
        <f>COUNTIFS('SPC-CPN_Q&amp;A'!#REF!,M$1,'SPC-CPN_Q&amp;A'!#REF!,'Writing assignments'!$C71,'SPC-CPN_Q&amp;A'!$O:$O,"Recall")</f>
        <v>#REF!</v>
      </c>
      <c r="U71" s="83" t="e">
        <f>COUNTIFS('SPC-CPN_Q&amp;A'!#REF!,M$1,'SPC-CPN_Q&amp;A'!#REF!,'Writing assignments'!$C71,'SPC-CPN_Q&amp;A'!$O:$O,"Application")</f>
        <v>#REF!</v>
      </c>
      <c r="V71" s="84" t="e">
        <f>COUNTIFS('SPC-CPN_Q&amp;A'!#REF!,M$1,'SPC-CPN_Q&amp;A'!#REF!,'Writing assignments'!$C71,'SPC-CPN_Q&amp;A'!$O:$O,"Analysis")</f>
        <v>#REF!</v>
      </c>
      <c r="AA71" s="84"/>
      <c r="AC71" s="83" t="e">
        <f t="shared" si="15"/>
        <v>#REF!</v>
      </c>
      <c r="AD71" s="83" t="e">
        <f>COUNTIFS('SPC-CPN_Q&amp;A'!#REF!,W$1,'SPC-CPN_Q&amp;A'!#REF!,'Writing assignments'!$C71,'SPC-CPN_Q&amp;A'!$O:$O,"Recall")</f>
        <v>#REF!</v>
      </c>
      <c r="AE71" s="83" t="e">
        <f>COUNTIFS('SPC-CPN_Q&amp;A'!#REF!,W$1,'SPC-CPN_Q&amp;A'!#REF!,'Writing assignments'!$C71,'SPC-CPN_Q&amp;A'!$O:$O,"Application")</f>
        <v>#REF!</v>
      </c>
      <c r="AF71" s="83" t="e">
        <f>COUNTIFS('SPC-CPN_Q&amp;A'!#REF!,W$1,'SPC-CPN_Q&amp;A'!#REF!,'Writing assignments'!$C71,'SPC-CPN_Q&amp;A'!$O:$O,"Analysis")</f>
        <v>#REF!</v>
      </c>
      <c r="AG71" s="82"/>
      <c r="AK71" s="84"/>
      <c r="AM71" s="83" t="e">
        <f t="shared" si="16"/>
        <v>#REF!</v>
      </c>
      <c r="AN71" s="83" t="e">
        <f>COUNTIFS('SPC-CPN_Q&amp;A'!#REF!,AG$1,'SPC-CPN_Q&amp;A'!#REF!,'Writing assignments'!$C71,'SPC-CPN_Q&amp;A'!$O:$O,"Recall")</f>
        <v>#REF!</v>
      </c>
      <c r="AO71" s="83" t="e">
        <f>COUNTIFS('SPC-CPN_Q&amp;A'!#REF!,AG$1,'SPC-CPN_Q&amp;A'!#REF!,'Writing assignments'!$C71,'SPC-CPN_Q&amp;A'!$O:$O,"Application")</f>
        <v>#REF!</v>
      </c>
      <c r="AP71" s="83" t="e">
        <f>COUNTIFS('SPC-CPN_Q&amp;A'!#REF!,AG$1,'SPC-CPN_Q&amp;A'!#REF!,'Writing assignments'!$C71,'SPC-CPN_Q&amp;A'!$O:$O,"Analysis")</f>
        <v>#REF!</v>
      </c>
      <c r="AQ71" s="82"/>
      <c r="AR71" s="83">
        <v>0</v>
      </c>
      <c r="AU71" s="84"/>
      <c r="BB71" s="83" t="e">
        <f t="shared" si="17"/>
        <v>#REF!</v>
      </c>
      <c r="BC71" s="83" t="e">
        <f>COUNTIFS('SPC-CPN_Q&amp;A'!#REF!,AV$1,'SPC-CPN_Q&amp;A'!#REF!,'Writing assignments'!$C71,'SPC-CPN_Q&amp;A'!$O:$O,"Recall")</f>
        <v>#REF!</v>
      </c>
      <c r="BD71" s="83" t="e">
        <f>COUNTIFS('SPC-CPN_Q&amp;A'!#REF!,AV$1,'SPC-CPN_Q&amp;A'!#REF!,'Writing assignments'!$C71,'SPC-CPN_Q&amp;A'!$O:$O,"Application")</f>
        <v>#REF!</v>
      </c>
      <c r="BE71" s="83" t="e">
        <f>COUNTIFS('SPC-CPN_Q&amp;A'!#REF!,AV$1,'SPC-CPN_Q&amp;A'!#REF!,'Writing assignments'!$C71,'SPC-CPN_Q&amp;A'!$O:$O,"Analysis")</f>
        <v>#REF!</v>
      </c>
      <c r="BF71" s="82"/>
      <c r="BJ71" s="84"/>
      <c r="BL71" s="83" t="e">
        <f t="shared" si="18"/>
        <v>#REF!</v>
      </c>
      <c r="BM71" s="83" t="e">
        <f>COUNTIFS('SPC-CPN_Q&amp;A'!#REF!,BF$1,'SPC-CPN_Q&amp;A'!#REF!,'Writing assignments'!$C71,'SPC-CPN_Q&amp;A'!$O:$O,"Recall")</f>
        <v>#REF!</v>
      </c>
      <c r="BN71" s="83" t="e">
        <f>COUNTIFS('SPC-CPN_Q&amp;A'!#REF!,BF$1,'SPC-CPN_Q&amp;A'!#REF!,'Writing assignments'!$C71,'SPC-CPN_Q&amp;A'!$O:$O,"Application")</f>
        <v>#REF!</v>
      </c>
      <c r="BO71" s="83" t="e">
        <f>COUNTIFS('SPC-CPN_Q&amp;A'!#REF!,BF$1,'SPC-CPN_Q&amp;A'!#REF!,'Writing assignments'!$C71,'SPC-CPN_Q&amp;A'!$O:$O,"Analysis")</f>
        <v>#REF!</v>
      </c>
      <c r="BP71" s="82" t="s">
        <v>71</v>
      </c>
      <c r="BQ71" s="83">
        <v>3</v>
      </c>
      <c r="BR71" s="83">
        <v>1</v>
      </c>
      <c r="BS71" s="83">
        <v>1</v>
      </c>
      <c r="BT71" s="84">
        <v>1</v>
      </c>
      <c r="BV71" s="83" t="e">
        <f t="shared" si="19"/>
        <v>#REF!</v>
      </c>
      <c r="BW71" s="83" t="e">
        <f>COUNTIFS('SPC-CPN_Q&amp;A'!#REF!,BP$1,'SPC-CPN_Q&amp;A'!#REF!,'Writing assignments'!$C71,'SPC-CPN_Q&amp;A'!$O:$O,"Recall")</f>
        <v>#REF!</v>
      </c>
      <c r="BX71" s="83" t="e">
        <f>COUNTIFS('SPC-CPN_Q&amp;A'!#REF!,BP$1,'SPC-CPN_Q&amp;A'!#REF!,'Writing assignments'!$C71,'SPC-CPN_Q&amp;A'!$O:$O,"Application")</f>
        <v>#REF!</v>
      </c>
      <c r="BY71" s="83" t="e">
        <f>COUNTIFS('SPC-CPN_Q&amp;A'!#REF!,BP$1,'SPC-CPN_Q&amp;A'!#REF!,'Writing assignments'!$C71,'SPC-CPN_Q&amp;A'!$O:$O,"Analysis")</f>
        <v>#REF!</v>
      </c>
      <c r="CA71" s="83">
        <v>0</v>
      </c>
    </row>
    <row r="72" spans="2:79" x14ac:dyDescent="0.25">
      <c r="B72" s="74" t="s">
        <v>3640</v>
      </c>
      <c r="C72" s="74" t="s">
        <v>3646</v>
      </c>
      <c r="D72" s="6"/>
      <c r="E72" s="6">
        <v>1</v>
      </c>
      <c r="F72" s="6">
        <v>2</v>
      </c>
      <c r="G72" s="6">
        <v>1</v>
      </c>
      <c r="H72" s="6">
        <f t="shared" si="12"/>
        <v>4</v>
      </c>
      <c r="J72" s="42">
        <f t="shared" si="11"/>
        <v>0</v>
      </c>
      <c r="K72" s="82" t="s">
        <v>71</v>
      </c>
      <c r="L72" s="84">
        <v>1</v>
      </c>
      <c r="M72" s="82"/>
      <c r="N72" s="83">
        <f t="shared" si="13"/>
        <v>0</v>
      </c>
      <c r="S72" s="83" t="e">
        <f t="shared" si="14"/>
        <v>#REF!</v>
      </c>
      <c r="T72" s="83" t="e">
        <f>COUNTIFS('SPC-CPN_Q&amp;A'!#REF!,M$1,'SPC-CPN_Q&amp;A'!#REF!,'Writing assignments'!$C72,'SPC-CPN_Q&amp;A'!$O:$O,"Recall")</f>
        <v>#REF!</v>
      </c>
      <c r="U72" s="83" t="e">
        <f>COUNTIFS('SPC-CPN_Q&amp;A'!#REF!,M$1,'SPC-CPN_Q&amp;A'!#REF!,'Writing assignments'!$C72,'SPC-CPN_Q&amp;A'!$O:$O,"Application")</f>
        <v>#REF!</v>
      </c>
      <c r="V72" s="84" t="e">
        <f>COUNTIFS('SPC-CPN_Q&amp;A'!#REF!,M$1,'SPC-CPN_Q&amp;A'!#REF!,'Writing assignments'!$C72,'SPC-CPN_Q&amp;A'!$O:$O,"Analysis")</f>
        <v>#REF!</v>
      </c>
      <c r="W72" s="83" t="s">
        <v>71</v>
      </c>
      <c r="X72" s="83">
        <v>3</v>
      </c>
      <c r="Y72" s="83">
        <v>1</v>
      </c>
      <c r="Z72" s="83">
        <v>1</v>
      </c>
      <c r="AA72" s="84">
        <v>1</v>
      </c>
      <c r="AC72" s="83" t="e">
        <f t="shared" si="15"/>
        <v>#REF!</v>
      </c>
      <c r="AD72" s="83" t="e">
        <f>COUNTIFS('SPC-CPN_Q&amp;A'!#REF!,W$1,'SPC-CPN_Q&amp;A'!#REF!,'Writing assignments'!$C72,'SPC-CPN_Q&amp;A'!$O:$O,"Recall")</f>
        <v>#REF!</v>
      </c>
      <c r="AE72" s="83" t="e">
        <f>COUNTIFS('SPC-CPN_Q&amp;A'!#REF!,W$1,'SPC-CPN_Q&amp;A'!#REF!,'Writing assignments'!$C72,'SPC-CPN_Q&amp;A'!$O:$O,"Application")</f>
        <v>#REF!</v>
      </c>
      <c r="AF72" s="83" t="e">
        <f>COUNTIFS('SPC-CPN_Q&amp;A'!#REF!,W$1,'SPC-CPN_Q&amp;A'!#REF!,'Writing assignments'!$C72,'SPC-CPN_Q&amp;A'!$O:$O,"Analysis")</f>
        <v>#REF!</v>
      </c>
      <c r="AG72" s="82"/>
      <c r="AK72" s="84"/>
      <c r="AM72" s="83" t="e">
        <f t="shared" si="16"/>
        <v>#REF!</v>
      </c>
      <c r="AN72" s="83" t="e">
        <f>COUNTIFS('SPC-CPN_Q&amp;A'!#REF!,AG$1,'SPC-CPN_Q&amp;A'!#REF!,'Writing assignments'!$C72,'SPC-CPN_Q&amp;A'!$O:$O,"Recall")</f>
        <v>#REF!</v>
      </c>
      <c r="AO72" s="83" t="e">
        <f>COUNTIFS('SPC-CPN_Q&amp;A'!#REF!,AG$1,'SPC-CPN_Q&amp;A'!#REF!,'Writing assignments'!$C72,'SPC-CPN_Q&amp;A'!$O:$O,"Application")</f>
        <v>#REF!</v>
      </c>
      <c r="AP72" s="83" t="e">
        <f>COUNTIFS('SPC-CPN_Q&amp;A'!#REF!,AG$1,'SPC-CPN_Q&amp;A'!#REF!,'Writing assignments'!$C72,'SPC-CPN_Q&amp;A'!$O:$O,"Analysis")</f>
        <v>#REF!</v>
      </c>
      <c r="AQ72" s="82"/>
      <c r="AR72" s="83">
        <v>0</v>
      </c>
      <c r="AU72" s="84"/>
      <c r="BB72" s="83" t="e">
        <f t="shared" si="17"/>
        <v>#REF!</v>
      </c>
      <c r="BC72" s="83" t="e">
        <f>COUNTIFS('SPC-CPN_Q&amp;A'!#REF!,AV$1,'SPC-CPN_Q&amp;A'!#REF!,'Writing assignments'!$C72,'SPC-CPN_Q&amp;A'!$O:$O,"Recall")</f>
        <v>#REF!</v>
      </c>
      <c r="BD72" s="83" t="e">
        <f>COUNTIFS('SPC-CPN_Q&amp;A'!#REF!,AV$1,'SPC-CPN_Q&amp;A'!#REF!,'Writing assignments'!$C72,'SPC-CPN_Q&amp;A'!$O:$O,"Application")</f>
        <v>#REF!</v>
      </c>
      <c r="BE72" s="83" t="e">
        <f>COUNTIFS('SPC-CPN_Q&amp;A'!#REF!,AV$1,'SPC-CPN_Q&amp;A'!#REF!,'Writing assignments'!$C72,'SPC-CPN_Q&amp;A'!$O:$O,"Analysis")</f>
        <v>#REF!</v>
      </c>
      <c r="BF72" s="82"/>
      <c r="BJ72" s="84"/>
      <c r="BL72" s="83" t="e">
        <f t="shared" si="18"/>
        <v>#REF!</v>
      </c>
      <c r="BM72" s="83" t="e">
        <f>COUNTIFS('SPC-CPN_Q&amp;A'!#REF!,BF$1,'SPC-CPN_Q&amp;A'!#REF!,'Writing assignments'!$C72,'SPC-CPN_Q&amp;A'!$O:$O,"Recall")</f>
        <v>#REF!</v>
      </c>
      <c r="BN72" s="83" t="e">
        <f>COUNTIFS('SPC-CPN_Q&amp;A'!#REF!,BF$1,'SPC-CPN_Q&amp;A'!#REF!,'Writing assignments'!$C72,'SPC-CPN_Q&amp;A'!$O:$O,"Application")</f>
        <v>#REF!</v>
      </c>
      <c r="BO72" s="83" t="e">
        <f>COUNTIFS('SPC-CPN_Q&amp;A'!#REF!,BF$1,'SPC-CPN_Q&amp;A'!#REF!,'Writing assignments'!$C72,'SPC-CPN_Q&amp;A'!$O:$O,"Analysis")</f>
        <v>#REF!</v>
      </c>
      <c r="BP72" s="82"/>
      <c r="BT72" s="84"/>
      <c r="BV72" s="83" t="e">
        <f t="shared" si="19"/>
        <v>#REF!</v>
      </c>
      <c r="BW72" s="83" t="e">
        <f>COUNTIFS('SPC-CPN_Q&amp;A'!#REF!,BP$1,'SPC-CPN_Q&amp;A'!#REF!,'Writing assignments'!$C72,'SPC-CPN_Q&amp;A'!$O:$O,"Recall")</f>
        <v>#REF!</v>
      </c>
      <c r="BX72" s="83" t="e">
        <f>COUNTIFS('SPC-CPN_Q&amp;A'!#REF!,BP$1,'SPC-CPN_Q&amp;A'!#REF!,'Writing assignments'!$C72,'SPC-CPN_Q&amp;A'!$O:$O,"Application")</f>
        <v>#REF!</v>
      </c>
      <c r="BY72" s="83" t="e">
        <f>COUNTIFS('SPC-CPN_Q&amp;A'!#REF!,BP$1,'SPC-CPN_Q&amp;A'!#REF!,'Writing assignments'!$C72,'SPC-CPN_Q&amp;A'!$O:$O,"Analysis")</f>
        <v>#REF!</v>
      </c>
      <c r="CA72" s="83">
        <v>0</v>
      </c>
    </row>
    <row r="73" spans="2:79" x14ac:dyDescent="0.25">
      <c r="B73" s="74" t="s">
        <v>3640</v>
      </c>
      <c r="C73" s="74" t="s">
        <v>3647</v>
      </c>
      <c r="D73" s="6"/>
      <c r="E73" s="6">
        <v>1</v>
      </c>
      <c r="F73" s="6">
        <v>2</v>
      </c>
      <c r="G73" s="6">
        <v>1</v>
      </c>
      <c r="H73" s="6">
        <f t="shared" si="12"/>
        <v>4</v>
      </c>
      <c r="J73" s="42">
        <f t="shared" si="11"/>
        <v>0</v>
      </c>
      <c r="K73" s="82" t="s">
        <v>71</v>
      </c>
      <c r="L73" s="84">
        <v>1</v>
      </c>
      <c r="M73" s="82"/>
      <c r="N73" s="83">
        <f t="shared" si="13"/>
        <v>0</v>
      </c>
      <c r="S73" s="83" t="e">
        <f t="shared" si="14"/>
        <v>#REF!</v>
      </c>
      <c r="T73" s="83" t="e">
        <f>COUNTIFS('SPC-CPN_Q&amp;A'!#REF!,M$1,'SPC-CPN_Q&amp;A'!#REF!,'Writing assignments'!$C73,'SPC-CPN_Q&amp;A'!$O:$O,"Recall")</f>
        <v>#REF!</v>
      </c>
      <c r="U73" s="83" t="e">
        <f>COUNTIFS('SPC-CPN_Q&amp;A'!#REF!,M$1,'SPC-CPN_Q&amp;A'!#REF!,'Writing assignments'!$C73,'SPC-CPN_Q&amp;A'!$O:$O,"Application")</f>
        <v>#REF!</v>
      </c>
      <c r="V73" s="84" t="e">
        <f>COUNTIFS('SPC-CPN_Q&amp;A'!#REF!,M$1,'SPC-CPN_Q&amp;A'!#REF!,'Writing assignments'!$C73,'SPC-CPN_Q&amp;A'!$O:$O,"Analysis")</f>
        <v>#REF!</v>
      </c>
      <c r="W73" s="83" t="s">
        <v>71</v>
      </c>
      <c r="X73" s="83">
        <v>3</v>
      </c>
      <c r="Y73" s="83">
        <v>1</v>
      </c>
      <c r="Z73" s="83">
        <v>1</v>
      </c>
      <c r="AA73" s="84">
        <v>1</v>
      </c>
      <c r="AC73" s="83" t="e">
        <f t="shared" si="15"/>
        <v>#REF!</v>
      </c>
      <c r="AD73" s="83" t="e">
        <f>COUNTIFS('SPC-CPN_Q&amp;A'!#REF!,W$1,'SPC-CPN_Q&amp;A'!#REF!,'Writing assignments'!$C73,'SPC-CPN_Q&amp;A'!$O:$O,"Recall")</f>
        <v>#REF!</v>
      </c>
      <c r="AE73" s="83" t="e">
        <f>COUNTIFS('SPC-CPN_Q&amp;A'!#REF!,W$1,'SPC-CPN_Q&amp;A'!#REF!,'Writing assignments'!$C73,'SPC-CPN_Q&amp;A'!$O:$O,"Application")</f>
        <v>#REF!</v>
      </c>
      <c r="AF73" s="83" t="e">
        <f>COUNTIFS('SPC-CPN_Q&amp;A'!#REF!,W$1,'SPC-CPN_Q&amp;A'!#REF!,'Writing assignments'!$C73,'SPC-CPN_Q&amp;A'!$O:$O,"Analysis")</f>
        <v>#REF!</v>
      </c>
      <c r="AG73" s="82"/>
      <c r="AK73" s="84"/>
      <c r="AM73" s="83" t="e">
        <f t="shared" si="16"/>
        <v>#REF!</v>
      </c>
      <c r="AN73" s="83" t="e">
        <f>COUNTIFS('SPC-CPN_Q&amp;A'!#REF!,AG$1,'SPC-CPN_Q&amp;A'!#REF!,'Writing assignments'!$C73,'SPC-CPN_Q&amp;A'!$O:$O,"Recall")</f>
        <v>#REF!</v>
      </c>
      <c r="AO73" s="83" t="e">
        <f>COUNTIFS('SPC-CPN_Q&amp;A'!#REF!,AG$1,'SPC-CPN_Q&amp;A'!#REF!,'Writing assignments'!$C73,'SPC-CPN_Q&amp;A'!$O:$O,"Application")</f>
        <v>#REF!</v>
      </c>
      <c r="AP73" s="83" t="e">
        <f>COUNTIFS('SPC-CPN_Q&amp;A'!#REF!,AG$1,'SPC-CPN_Q&amp;A'!#REF!,'Writing assignments'!$C73,'SPC-CPN_Q&amp;A'!$O:$O,"Analysis")</f>
        <v>#REF!</v>
      </c>
      <c r="AQ73" s="82"/>
      <c r="AR73" s="83">
        <v>0</v>
      </c>
      <c r="AU73" s="84"/>
      <c r="BB73" s="83" t="e">
        <f t="shared" si="17"/>
        <v>#REF!</v>
      </c>
      <c r="BC73" s="83" t="e">
        <f>COUNTIFS('SPC-CPN_Q&amp;A'!#REF!,AV$1,'SPC-CPN_Q&amp;A'!#REF!,'Writing assignments'!$C73,'SPC-CPN_Q&amp;A'!$O:$O,"Recall")</f>
        <v>#REF!</v>
      </c>
      <c r="BD73" s="83" t="e">
        <f>COUNTIFS('SPC-CPN_Q&amp;A'!#REF!,AV$1,'SPC-CPN_Q&amp;A'!#REF!,'Writing assignments'!$C73,'SPC-CPN_Q&amp;A'!$O:$O,"Application")</f>
        <v>#REF!</v>
      </c>
      <c r="BE73" s="83" t="e">
        <f>COUNTIFS('SPC-CPN_Q&amp;A'!#REF!,AV$1,'SPC-CPN_Q&amp;A'!#REF!,'Writing assignments'!$C73,'SPC-CPN_Q&amp;A'!$O:$O,"Analysis")</f>
        <v>#REF!</v>
      </c>
      <c r="BF73" s="82"/>
      <c r="BJ73" s="84"/>
      <c r="BL73" s="83" t="e">
        <f t="shared" si="18"/>
        <v>#REF!</v>
      </c>
      <c r="BM73" s="83" t="e">
        <f>COUNTIFS('SPC-CPN_Q&amp;A'!#REF!,BF$1,'SPC-CPN_Q&amp;A'!#REF!,'Writing assignments'!$C73,'SPC-CPN_Q&amp;A'!$O:$O,"Recall")</f>
        <v>#REF!</v>
      </c>
      <c r="BN73" s="83" t="e">
        <f>COUNTIFS('SPC-CPN_Q&amp;A'!#REF!,BF$1,'SPC-CPN_Q&amp;A'!#REF!,'Writing assignments'!$C73,'SPC-CPN_Q&amp;A'!$O:$O,"Application")</f>
        <v>#REF!</v>
      </c>
      <c r="BO73" s="83" t="e">
        <f>COUNTIFS('SPC-CPN_Q&amp;A'!#REF!,BF$1,'SPC-CPN_Q&amp;A'!#REF!,'Writing assignments'!$C73,'SPC-CPN_Q&amp;A'!$O:$O,"Analysis")</f>
        <v>#REF!</v>
      </c>
      <c r="BP73" s="82"/>
      <c r="BT73" s="84"/>
      <c r="BV73" s="83" t="e">
        <f t="shared" si="19"/>
        <v>#REF!</v>
      </c>
      <c r="BW73" s="83" t="e">
        <f>COUNTIFS('SPC-CPN_Q&amp;A'!#REF!,BP$1,'SPC-CPN_Q&amp;A'!#REF!,'Writing assignments'!$C73,'SPC-CPN_Q&amp;A'!$O:$O,"Recall")</f>
        <v>#REF!</v>
      </c>
      <c r="BX73" s="83" t="e">
        <f>COUNTIFS('SPC-CPN_Q&amp;A'!#REF!,BP$1,'SPC-CPN_Q&amp;A'!#REF!,'Writing assignments'!$C73,'SPC-CPN_Q&amp;A'!$O:$O,"Application")</f>
        <v>#REF!</v>
      </c>
      <c r="BY73" s="83" t="e">
        <f>COUNTIFS('SPC-CPN_Q&amp;A'!#REF!,BP$1,'SPC-CPN_Q&amp;A'!#REF!,'Writing assignments'!$C73,'SPC-CPN_Q&amp;A'!$O:$O,"Analysis")</f>
        <v>#REF!</v>
      </c>
      <c r="CA73" s="83">
        <v>0</v>
      </c>
    </row>
    <row r="74" spans="2:79" x14ac:dyDescent="0.25">
      <c r="B74" s="74" t="s">
        <v>3640</v>
      </c>
      <c r="C74" s="74" t="s">
        <v>3648</v>
      </c>
      <c r="D74" s="6"/>
      <c r="E74" s="6">
        <v>1</v>
      </c>
      <c r="F74" s="6">
        <v>2</v>
      </c>
      <c r="G74" s="6">
        <v>1</v>
      </c>
      <c r="H74" s="6">
        <f t="shared" si="12"/>
        <v>4</v>
      </c>
      <c r="J74" s="42">
        <f t="shared" si="11"/>
        <v>0</v>
      </c>
      <c r="K74" s="82" t="s">
        <v>71</v>
      </c>
      <c r="L74" s="84">
        <v>1</v>
      </c>
      <c r="M74" s="82"/>
      <c r="N74" s="83">
        <f t="shared" si="13"/>
        <v>0</v>
      </c>
      <c r="S74" s="83" t="e">
        <f t="shared" si="14"/>
        <v>#REF!</v>
      </c>
      <c r="T74" s="83" t="e">
        <f>COUNTIFS('SPC-CPN_Q&amp;A'!#REF!,M$1,'SPC-CPN_Q&amp;A'!#REF!,'Writing assignments'!$C74,'SPC-CPN_Q&amp;A'!$O:$O,"Recall")</f>
        <v>#REF!</v>
      </c>
      <c r="U74" s="83" t="e">
        <f>COUNTIFS('SPC-CPN_Q&amp;A'!#REF!,M$1,'SPC-CPN_Q&amp;A'!#REF!,'Writing assignments'!$C74,'SPC-CPN_Q&amp;A'!$O:$O,"Application")</f>
        <v>#REF!</v>
      </c>
      <c r="V74" s="84" t="e">
        <f>COUNTIFS('SPC-CPN_Q&amp;A'!#REF!,M$1,'SPC-CPN_Q&amp;A'!#REF!,'Writing assignments'!$C74,'SPC-CPN_Q&amp;A'!$O:$O,"Analysis")</f>
        <v>#REF!</v>
      </c>
      <c r="AA74" s="84"/>
      <c r="AC74" s="83" t="e">
        <f t="shared" si="15"/>
        <v>#REF!</v>
      </c>
      <c r="AD74" s="83" t="e">
        <f>COUNTIFS('SPC-CPN_Q&amp;A'!#REF!,W$1,'SPC-CPN_Q&amp;A'!#REF!,'Writing assignments'!$C74,'SPC-CPN_Q&amp;A'!$O:$O,"Recall")</f>
        <v>#REF!</v>
      </c>
      <c r="AE74" s="83" t="e">
        <f>COUNTIFS('SPC-CPN_Q&amp;A'!#REF!,W$1,'SPC-CPN_Q&amp;A'!#REF!,'Writing assignments'!$C74,'SPC-CPN_Q&amp;A'!$O:$O,"Application")</f>
        <v>#REF!</v>
      </c>
      <c r="AF74" s="83" t="e">
        <f>COUNTIFS('SPC-CPN_Q&amp;A'!#REF!,W$1,'SPC-CPN_Q&amp;A'!#REF!,'Writing assignments'!$C74,'SPC-CPN_Q&amp;A'!$O:$O,"Analysis")</f>
        <v>#REF!</v>
      </c>
      <c r="AG74" s="82" t="s">
        <v>71</v>
      </c>
      <c r="AH74" s="83">
        <v>3</v>
      </c>
      <c r="AI74" s="83">
        <v>1</v>
      </c>
      <c r="AJ74" s="83">
        <v>1</v>
      </c>
      <c r="AK74" s="84">
        <v>1</v>
      </c>
      <c r="AM74" s="83" t="e">
        <f t="shared" si="16"/>
        <v>#REF!</v>
      </c>
      <c r="AN74" s="83" t="e">
        <f>COUNTIFS('SPC-CPN_Q&amp;A'!#REF!,AG$1,'SPC-CPN_Q&amp;A'!#REF!,'Writing assignments'!$C74,'SPC-CPN_Q&amp;A'!$O:$O,"Recall")</f>
        <v>#REF!</v>
      </c>
      <c r="AO74" s="83" t="e">
        <f>COUNTIFS('SPC-CPN_Q&amp;A'!#REF!,AG$1,'SPC-CPN_Q&amp;A'!#REF!,'Writing assignments'!$C74,'SPC-CPN_Q&amp;A'!$O:$O,"Application")</f>
        <v>#REF!</v>
      </c>
      <c r="AP74" s="83" t="e">
        <f>COUNTIFS('SPC-CPN_Q&amp;A'!#REF!,AG$1,'SPC-CPN_Q&amp;A'!#REF!,'Writing assignments'!$C74,'SPC-CPN_Q&amp;A'!$O:$O,"Analysis")</f>
        <v>#REF!</v>
      </c>
      <c r="AQ74" s="82"/>
      <c r="AR74" s="83">
        <v>0</v>
      </c>
      <c r="AU74" s="84"/>
      <c r="BB74" s="83" t="e">
        <f t="shared" si="17"/>
        <v>#REF!</v>
      </c>
      <c r="BC74" s="83" t="e">
        <f>COUNTIFS('SPC-CPN_Q&amp;A'!#REF!,AV$1,'SPC-CPN_Q&amp;A'!#REF!,'Writing assignments'!$C74,'SPC-CPN_Q&amp;A'!$O:$O,"Recall")</f>
        <v>#REF!</v>
      </c>
      <c r="BD74" s="83" t="e">
        <f>COUNTIFS('SPC-CPN_Q&amp;A'!#REF!,AV$1,'SPC-CPN_Q&amp;A'!#REF!,'Writing assignments'!$C74,'SPC-CPN_Q&amp;A'!$O:$O,"Application")</f>
        <v>#REF!</v>
      </c>
      <c r="BE74" s="83" t="e">
        <f>COUNTIFS('SPC-CPN_Q&amp;A'!#REF!,AV$1,'SPC-CPN_Q&amp;A'!#REF!,'Writing assignments'!$C74,'SPC-CPN_Q&amp;A'!$O:$O,"Analysis")</f>
        <v>#REF!</v>
      </c>
      <c r="BF74" s="82"/>
      <c r="BJ74" s="84"/>
      <c r="BL74" s="83" t="e">
        <f t="shared" si="18"/>
        <v>#REF!</v>
      </c>
      <c r="BM74" s="83" t="e">
        <f>COUNTIFS('SPC-CPN_Q&amp;A'!#REF!,BF$1,'SPC-CPN_Q&amp;A'!#REF!,'Writing assignments'!$C74,'SPC-CPN_Q&amp;A'!$O:$O,"Recall")</f>
        <v>#REF!</v>
      </c>
      <c r="BN74" s="83" t="e">
        <f>COUNTIFS('SPC-CPN_Q&amp;A'!#REF!,BF$1,'SPC-CPN_Q&amp;A'!#REF!,'Writing assignments'!$C74,'SPC-CPN_Q&amp;A'!$O:$O,"Application")</f>
        <v>#REF!</v>
      </c>
      <c r="BO74" s="83" t="e">
        <f>COUNTIFS('SPC-CPN_Q&amp;A'!#REF!,BF$1,'SPC-CPN_Q&amp;A'!#REF!,'Writing assignments'!$C74,'SPC-CPN_Q&amp;A'!$O:$O,"Analysis")</f>
        <v>#REF!</v>
      </c>
      <c r="BP74" s="82"/>
      <c r="BT74" s="84"/>
      <c r="BV74" s="83" t="e">
        <f t="shared" si="19"/>
        <v>#REF!</v>
      </c>
      <c r="BW74" s="83" t="e">
        <f>COUNTIFS('SPC-CPN_Q&amp;A'!#REF!,BP$1,'SPC-CPN_Q&amp;A'!#REF!,'Writing assignments'!$C74,'SPC-CPN_Q&amp;A'!$O:$O,"Recall")</f>
        <v>#REF!</v>
      </c>
      <c r="BX74" s="83" t="e">
        <f>COUNTIFS('SPC-CPN_Q&amp;A'!#REF!,BP$1,'SPC-CPN_Q&amp;A'!#REF!,'Writing assignments'!$C74,'SPC-CPN_Q&amp;A'!$O:$O,"Application")</f>
        <v>#REF!</v>
      </c>
      <c r="BY74" s="83" t="e">
        <f>COUNTIFS('SPC-CPN_Q&amp;A'!#REF!,BP$1,'SPC-CPN_Q&amp;A'!#REF!,'Writing assignments'!$C74,'SPC-CPN_Q&amp;A'!$O:$O,"Analysis")</f>
        <v>#REF!</v>
      </c>
      <c r="CA74" s="83">
        <v>0</v>
      </c>
    </row>
    <row r="75" spans="2:79" x14ac:dyDescent="0.25">
      <c r="B75" s="74" t="s">
        <v>3640</v>
      </c>
      <c r="C75" s="74" t="s">
        <v>3649</v>
      </c>
      <c r="D75" s="6"/>
      <c r="E75" s="6">
        <v>0</v>
      </c>
      <c r="F75" s="6">
        <v>2</v>
      </c>
      <c r="G75" s="6">
        <v>1</v>
      </c>
      <c r="H75" s="6">
        <f t="shared" si="12"/>
        <v>3</v>
      </c>
      <c r="J75" s="42">
        <f t="shared" si="11"/>
        <v>0</v>
      </c>
      <c r="K75" s="82" t="s">
        <v>71</v>
      </c>
      <c r="L75" s="84">
        <v>1</v>
      </c>
      <c r="M75" s="82"/>
      <c r="N75" s="83">
        <f t="shared" si="13"/>
        <v>0</v>
      </c>
      <c r="S75" s="83" t="e">
        <f t="shared" si="14"/>
        <v>#REF!</v>
      </c>
      <c r="T75" s="83" t="e">
        <f>COUNTIFS('SPC-CPN_Q&amp;A'!#REF!,M$1,'SPC-CPN_Q&amp;A'!#REF!,'Writing assignments'!$C75,'SPC-CPN_Q&amp;A'!$O:$O,"Recall")</f>
        <v>#REF!</v>
      </c>
      <c r="U75" s="83" t="e">
        <f>COUNTIFS('SPC-CPN_Q&amp;A'!#REF!,M$1,'SPC-CPN_Q&amp;A'!#REF!,'Writing assignments'!$C75,'SPC-CPN_Q&amp;A'!$O:$O,"Application")</f>
        <v>#REF!</v>
      </c>
      <c r="V75" s="84" t="e">
        <f>COUNTIFS('SPC-CPN_Q&amp;A'!#REF!,M$1,'SPC-CPN_Q&amp;A'!#REF!,'Writing assignments'!$C75,'SPC-CPN_Q&amp;A'!$O:$O,"Analysis")</f>
        <v>#REF!</v>
      </c>
      <c r="AA75" s="84"/>
      <c r="AC75" s="83" t="e">
        <f t="shared" si="15"/>
        <v>#REF!</v>
      </c>
      <c r="AD75" s="83" t="e">
        <f>COUNTIFS('SPC-CPN_Q&amp;A'!#REF!,W$1,'SPC-CPN_Q&amp;A'!#REF!,'Writing assignments'!$C75,'SPC-CPN_Q&amp;A'!$O:$O,"Recall")</f>
        <v>#REF!</v>
      </c>
      <c r="AE75" s="83" t="e">
        <f>COUNTIFS('SPC-CPN_Q&amp;A'!#REF!,W$1,'SPC-CPN_Q&amp;A'!#REF!,'Writing assignments'!$C75,'SPC-CPN_Q&amp;A'!$O:$O,"Application")</f>
        <v>#REF!</v>
      </c>
      <c r="AF75" s="83" t="e">
        <f>COUNTIFS('SPC-CPN_Q&amp;A'!#REF!,W$1,'SPC-CPN_Q&amp;A'!#REF!,'Writing assignments'!$C75,'SPC-CPN_Q&amp;A'!$O:$O,"Analysis")</f>
        <v>#REF!</v>
      </c>
      <c r="AG75" s="82"/>
      <c r="AK75" s="84"/>
      <c r="AM75" s="83" t="e">
        <f t="shared" si="16"/>
        <v>#REF!</v>
      </c>
      <c r="AN75" s="83" t="e">
        <f>COUNTIFS('SPC-CPN_Q&amp;A'!#REF!,AG$1,'SPC-CPN_Q&amp;A'!#REF!,'Writing assignments'!$C75,'SPC-CPN_Q&amp;A'!$O:$O,"Recall")</f>
        <v>#REF!</v>
      </c>
      <c r="AO75" s="83" t="e">
        <f>COUNTIFS('SPC-CPN_Q&amp;A'!#REF!,AG$1,'SPC-CPN_Q&amp;A'!#REF!,'Writing assignments'!$C75,'SPC-CPN_Q&amp;A'!$O:$O,"Application")</f>
        <v>#REF!</v>
      </c>
      <c r="AP75" s="83" t="e">
        <f>COUNTIFS('SPC-CPN_Q&amp;A'!#REF!,AG$1,'SPC-CPN_Q&amp;A'!#REF!,'Writing assignments'!$C75,'SPC-CPN_Q&amp;A'!$O:$O,"Analysis")</f>
        <v>#REF!</v>
      </c>
      <c r="AQ75" s="82"/>
      <c r="AR75" s="83">
        <v>0</v>
      </c>
      <c r="AU75" s="84"/>
      <c r="BB75" s="83" t="e">
        <f t="shared" si="17"/>
        <v>#REF!</v>
      </c>
      <c r="BC75" s="83" t="e">
        <f>COUNTIFS('SPC-CPN_Q&amp;A'!#REF!,AV$1,'SPC-CPN_Q&amp;A'!#REF!,'Writing assignments'!$C75,'SPC-CPN_Q&amp;A'!$O:$O,"Recall")</f>
        <v>#REF!</v>
      </c>
      <c r="BD75" s="83" t="e">
        <f>COUNTIFS('SPC-CPN_Q&amp;A'!#REF!,AV$1,'SPC-CPN_Q&amp;A'!#REF!,'Writing assignments'!$C75,'SPC-CPN_Q&amp;A'!$O:$O,"Application")</f>
        <v>#REF!</v>
      </c>
      <c r="BE75" s="83" t="e">
        <f>COUNTIFS('SPC-CPN_Q&amp;A'!#REF!,AV$1,'SPC-CPN_Q&amp;A'!#REF!,'Writing assignments'!$C75,'SPC-CPN_Q&amp;A'!$O:$O,"Analysis")</f>
        <v>#REF!</v>
      </c>
      <c r="BF75" s="82" t="s">
        <v>71</v>
      </c>
      <c r="BG75" s="83">
        <v>2</v>
      </c>
      <c r="BH75" s="83">
        <v>0</v>
      </c>
      <c r="BI75" s="83">
        <v>1</v>
      </c>
      <c r="BJ75" s="84">
        <v>1</v>
      </c>
      <c r="BL75" s="83" t="e">
        <f t="shared" si="18"/>
        <v>#REF!</v>
      </c>
      <c r="BM75" s="83" t="e">
        <f>COUNTIFS('SPC-CPN_Q&amp;A'!#REF!,BF$1,'SPC-CPN_Q&amp;A'!#REF!,'Writing assignments'!$C75,'SPC-CPN_Q&amp;A'!$O:$O,"Recall")</f>
        <v>#REF!</v>
      </c>
      <c r="BN75" s="83" t="e">
        <f>COUNTIFS('SPC-CPN_Q&amp;A'!#REF!,BF$1,'SPC-CPN_Q&amp;A'!#REF!,'Writing assignments'!$C75,'SPC-CPN_Q&amp;A'!$O:$O,"Application")</f>
        <v>#REF!</v>
      </c>
      <c r="BO75" s="83" t="e">
        <f>COUNTIFS('SPC-CPN_Q&amp;A'!#REF!,BF$1,'SPC-CPN_Q&amp;A'!#REF!,'Writing assignments'!$C75,'SPC-CPN_Q&amp;A'!$O:$O,"Analysis")</f>
        <v>#REF!</v>
      </c>
      <c r="BP75" s="82"/>
      <c r="BT75" s="84"/>
      <c r="BV75" s="83" t="e">
        <f t="shared" si="19"/>
        <v>#REF!</v>
      </c>
      <c r="BW75" s="83" t="e">
        <f>COUNTIFS('SPC-CPN_Q&amp;A'!#REF!,BP$1,'SPC-CPN_Q&amp;A'!#REF!,'Writing assignments'!$C75,'SPC-CPN_Q&amp;A'!$O:$O,"Recall")</f>
        <v>#REF!</v>
      </c>
      <c r="BX75" s="83" t="e">
        <f>COUNTIFS('SPC-CPN_Q&amp;A'!#REF!,BP$1,'SPC-CPN_Q&amp;A'!#REF!,'Writing assignments'!$C75,'SPC-CPN_Q&amp;A'!$O:$O,"Application")</f>
        <v>#REF!</v>
      </c>
      <c r="BY75" s="83" t="e">
        <f>COUNTIFS('SPC-CPN_Q&amp;A'!#REF!,BP$1,'SPC-CPN_Q&amp;A'!#REF!,'Writing assignments'!$C75,'SPC-CPN_Q&amp;A'!$O:$O,"Analysis")</f>
        <v>#REF!</v>
      </c>
      <c r="CA75" s="83">
        <v>0</v>
      </c>
    </row>
    <row r="76" spans="2:79" x14ac:dyDescent="0.25">
      <c r="B76" s="74" t="s">
        <v>3650</v>
      </c>
      <c r="C76" s="74" t="s">
        <v>3651</v>
      </c>
      <c r="D76" s="6"/>
      <c r="E76" s="6">
        <v>1</v>
      </c>
      <c r="F76" s="6">
        <v>3</v>
      </c>
      <c r="G76" s="6">
        <v>1</v>
      </c>
      <c r="H76" s="6">
        <f t="shared" si="12"/>
        <v>5</v>
      </c>
      <c r="J76" s="42">
        <f t="shared" si="11"/>
        <v>0</v>
      </c>
      <c r="K76" s="82"/>
      <c r="L76" s="84">
        <v>0</v>
      </c>
      <c r="M76" s="82"/>
      <c r="N76" s="83">
        <f t="shared" si="13"/>
        <v>0</v>
      </c>
      <c r="S76" s="83" t="e">
        <f t="shared" si="14"/>
        <v>#REF!</v>
      </c>
      <c r="T76" s="83" t="e">
        <f>COUNTIFS('SPC-CPN_Q&amp;A'!#REF!,M$1,'SPC-CPN_Q&amp;A'!#REF!,'Writing assignments'!$C76,'SPC-CPN_Q&amp;A'!$O:$O,"Recall")</f>
        <v>#REF!</v>
      </c>
      <c r="U76" s="83" t="e">
        <f>COUNTIFS('SPC-CPN_Q&amp;A'!#REF!,M$1,'SPC-CPN_Q&amp;A'!#REF!,'Writing assignments'!$C76,'SPC-CPN_Q&amp;A'!$O:$O,"Application")</f>
        <v>#REF!</v>
      </c>
      <c r="V76" s="84" t="e">
        <f>COUNTIFS('SPC-CPN_Q&amp;A'!#REF!,M$1,'SPC-CPN_Q&amp;A'!#REF!,'Writing assignments'!$C76,'SPC-CPN_Q&amp;A'!$O:$O,"Analysis")</f>
        <v>#REF!</v>
      </c>
      <c r="AA76" s="84"/>
      <c r="AC76" s="83" t="e">
        <f t="shared" si="15"/>
        <v>#REF!</v>
      </c>
      <c r="AD76" s="83" t="e">
        <f>COUNTIFS('SPC-CPN_Q&amp;A'!#REF!,W$1,'SPC-CPN_Q&amp;A'!#REF!,'Writing assignments'!$C76,'SPC-CPN_Q&amp;A'!$O:$O,"Recall")</f>
        <v>#REF!</v>
      </c>
      <c r="AE76" s="83" t="e">
        <f>COUNTIFS('SPC-CPN_Q&amp;A'!#REF!,W$1,'SPC-CPN_Q&amp;A'!#REF!,'Writing assignments'!$C76,'SPC-CPN_Q&amp;A'!$O:$O,"Application")</f>
        <v>#REF!</v>
      </c>
      <c r="AF76" s="83" t="e">
        <f>COUNTIFS('SPC-CPN_Q&amp;A'!#REF!,W$1,'SPC-CPN_Q&amp;A'!#REF!,'Writing assignments'!$C76,'SPC-CPN_Q&amp;A'!$O:$O,"Analysis")</f>
        <v>#REF!</v>
      </c>
      <c r="AG76" s="82"/>
      <c r="AK76" s="84"/>
      <c r="AM76" s="83" t="e">
        <f t="shared" si="16"/>
        <v>#REF!</v>
      </c>
      <c r="AN76" s="83" t="e">
        <f>COUNTIFS('SPC-CPN_Q&amp;A'!#REF!,AG$1,'SPC-CPN_Q&amp;A'!#REF!,'Writing assignments'!$C76,'SPC-CPN_Q&amp;A'!$O:$O,"Recall")</f>
        <v>#REF!</v>
      </c>
      <c r="AO76" s="83" t="e">
        <f>COUNTIFS('SPC-CPN_Q&amp;A'!#REF!,AG$1,'SPC-CPN_Q&amp;A'!#REF!,'Writing assignments'!$C76,'SPC-CPN_Q&amp;A'!$O:$O,"Application")</f>
        <v>#REF!</v>
      </c>
      <c r="AP76" s="83" t="e">
        <f>COUNTIFS('SPC-CPN_Q&amp;A'!#REF!,AG$1,'SPC-CPN_Q&amp;A'!#REF!,'Writing assignments'!$C76,'SPC-CPN_Q&amp;A'!$O:$O,"Analysis")</f>
        <v>#REF!</v>
      </c>
      <c r="AQ76" s="82"/>
      <c r="AR76" s="83">
        <v>0</v>
      </c>
      <c r="AU76" s="84"/>
      <c r="BB76" s="83" t="e">
        <f t="shared" si="17"/>
        <v>#REF!</v>
      </c>
      <c r="BC76" s="83" t="e">
        <f>COUNTIFS('SPC-CPN_Q&amp;A'!#REF!,AV$1,'SPC-CPN_Q&amp;A'!#REF!,'Writing assignments'!$C76,'SPC-CPN_Q&amp;A'!$O:$O,"Recall")</f>
        <v>#REF!</v>
      </c>
      <c r="BD76" s="83" t="e">
        <f>COUNTIFS('SPC-CPN_Q&amp;A'!#REF!,AV$1,'SPC-CPN_Q&amp;A'!#REF!,'Writing assignments'!$C76,'SPC-CPN_Q&amp;A'!$O:$O,"Application")</f>
        <v>#REF!</v>
      </c>
      <c r="BE76" s="83" t="e">
        <f>COUNTIFS('SPC-CPN_Q&amp;A'!#REF!,AV$1,'SPC-CPN_Q&amp;A'!#REF!,'Writing assignments'!$C76,'SPC-CPN_Q&amp;A'!$O:$O,"Analysis")</f>
        <v>#REF!</v>
      </c>
      <c r="BF76" s="82" t="s">
        <v>71</v>
      </c>
      <c r="BG76" s="83">
        <v>3</v>
      </c>
      <c r="BH76" s="83">
        <v>1</v>
      </c>
      <c r="BI76" s="83">
        <v>1</v>
      </c>
      <c r="BJ76" s="84">
        <v>1</v>
      </c>
      <c r="BL76" s="83" t="e">
        <f t="shared" si="18"/>
        <v>#REF!</v>
      </c>
      <c r="BM76" s="83" t="e">
        <f>COUNTIFS('SPC-CPN_Q&amp;A'!#REF!,BF$1,'SPC-CPN_Q&amp;A'!#REF!,'Writing assignments'!$C76,'SPC-CPN_Q&amp;A'!$O:$O,"Recall")</f>
        <v>#REF!</v>
      </c>
      <c r="BN76" s="83" t="e">
        <f>COUNTIFS('SPC-CPN_Q&amp;A'!#REF!,BF$1,'SPC-CPN_Q&amp;A'!#REF!,'Writing assignments'!$C76,'SPC-CPN_Q&amp;A'!$O:$O,"Application")</f>
        <v>#REF!</v>
      </c>
      <c r="BO76" s="83" t="e">
        <f>COUNTIFS('SPC-CPN_Q&amp;A'!#REF!,BF$1,'SPC-CPN_Q&amp;A'!#REF!,'Writing assignments'!$C76,'SPC-CPN_Q&amp;A'!$O:$O,"Analysis")</f>
        <v>#REF!</v>
      </c>
      <c r="BP76" s="82" t="s">
        <v>71</v>
      </c>
      <c r="BQ76" s="83">
        <v>2</v>
      </c>
      <c r="BR76" s="83">
        <v>0</v>
      </c>
      <c r="BS76" s="83">
        <v>2</v>
      </c>
      <c r="BT76" s="84">
        <v>0</v>
      </c>
      <c r="BV76" s="83" t="e">
        <f t="shared" si="19"/>
        <v>#REF!</v>
      </c>
      <c r="BW76" s="83" t="e">
        <f>COUNTIFS('SPC-CPN_Q&amp;A'!#REF!,BP$1,'SPC-CPN_Q&amp;A'!#REF!,'Writing assignments'!$C76,'SPC-CPN_Q&amp;A'!$O:$O,"Recall")</f>
        <v>#REF!</v>
      </c>
      <c r="BX76" s="83" t="e">
        <f>COUNTIFS('SPC-CPN_Q&amp;A'!#REF!,BP$1,'SPC-CPN_Q&amp;A'!#REF!,'Writing assignments'!$C76,'SPC-CPN_Q&amp;A'!$O:$O,"Application")</f>
        <v>#REF!</v>
      </c>
      <c r="BY76" s="83" t="e">
        <f>COUNTIFS('SPC-CPN_Q&amp;A'!#REF!,BP$1,'SPC-CPN_Q&amp;A'!#REF!,'Writing assignments'!$C76,'SPC-CPN_Q&amp;A'!$O:$O,"Analysis")</f>
        <v>#REF!</v>
      </c>
      <c r="CA76" s="83">
        <v>0</v>
      </c>
    </row>
    <row r="77" spans="2:79" x14ac:dyDescent="0.25">
      <c r="B77" s="74" t="s">
        <v>3650</v>
      </c>
      <c r="C77" s="74" t="s">
        <v>3652</v>
      </c>
      <c r="D77" s="6"/>
      <c r="E77" s="6">
        <v>0</v>
      </c>
      <c r="F77" s="6">
        <v>4</v>
      </c>
      <c r="G77" s="6">
        <v>1</v>
      </c>
      <c r="H77" s="6">
        <f t="shared" si="12"/>
        <v>5</v>
      </c>
      <c r="J77" s="42">
        <f t="shared" si="11"/>
        <v>0</v>
      </c>
      <c r="K77" s="82" t="s">
        <v>71</v>
      </c>
      <c r="L77" s="84">
        <v>3</v>
      </c>
      <c r="M77" s="82"/>
      <c r="N77" s="83">
        <f t="shared" si="13"/>
        <v>0</v>
      </c>
      <c r="S77" s="83" t="e">
        <f t="shared" si="14"/>
        <v>#REF!</v>
      </c>
      <c r="T77" s="83" t="e">
        <f>COUNTIFS('SPC-CPN_Q&amp;A'!#REF!,M$1,'SPC-CPN_Q&amp;A'!#REF!,'Writing assignments'!$C77,'SPC-CPN_Q&amp;A'!$O:$O,"Recall")</f>
        <v>#REF!</v>
      </c>
      <c r="U77" s="83" t="e">
        <f>COUNTIFS('SPC-CPN_Q&amp;A'!#REF!,M$1,'SPC-CPN_Q&amp;A'!#REF!,'Writing assignments'!$C77,'SPC-CPN_Q&amp;A'!$O:$O,"Application")</f>
        <v>#REF!</v>
      </c>
      <c r="V77" s="84" t="e">
        <f>COUNTIFS('SPC-CPN_Q&amp;A'!#REF!,M$1,'SPC-CPN_Q&amp;A'!#REF!,'Writing assignments'!$C77,'SPC-CPN_Q&amp;A'!$O:$O,"Analysis")</f>
        <v>#REF!</v>
      </c>
      <c r="AA77" s="84"/>
      <c r="AC77" s="83" t="e">
        <f t="shared" si="15"/>
        <v>#REF!</v>
      </c>
      <c r="AD77" s="83" t="e">
        <f>COUNTIFS('SPC-CPN_Q&amp;A'!#REF!,W$1,'SPC-CPN_Q&amp;A'!#REF!,'Writing assignments'!$C77,'SPC-CPN_Q&amp;A'!$O:$O,"Recall")</f>
        <v>#REF!</v>
      </c>
      <c r="AE77" s="83" t="e">
        <f>COUNTIFS('SPC-CPN_Q&amp;A'!#REF!,W$1,'SPC-CPN_Q&amp;A'!#REF!,'Writing assignments'!$C77,'SPC-CPN_Q&amp;A'!$O:$O,"Application")</f>
        <v>#REF!</v>
      </c>
      <c r="AF77" s="83" t="e">
        <f>COUNTIFS('SPC-CPN_Q&amp;A'!#REF!,W$1,'SPC-CPN_Q&amp;A'!#REF!,'Writing assignments'!$C77,'SPC-CPN_Q&amp;A'!$O:$O,"Analysis")</f>
        <v>#REF!</v>
      </c>
      <c r="AG77" s="82"/>
      <c r="AK77" s="84"/>
      <c r="AM77" s="83" t="e">
        <f t="shared" si="16"/>
        <v>#REF!</v>
      </c>
      <c r="AN77" s="83" t="e">
        <f>COUNTIFS('SPC-CPN_Q&amp;A'!#REF!,AG$1,'SPC-CPN_Q&amp;A'!#REF!,'Writing assignments'!$C77,'SPC-CPN_Q&amp;A'!$O:$O,"Recall")</f>
        <v>#REF!</v>
      </c>
      <c r="AO77" s="83" t="e">
        <f>COUNTIFS('SPC-CPN_Q&amp;A'!#REF!,AG$1,'SPC-CPN_Q&amp;A'!#REF!,'Writing assignments'!$C77,'SPC-CPN_Q&amp;A'!$O:$O,"Application")</f>
        <v>#REF!</v>
      </c>
      <c r="AP77" s="83" t="e">
        <f>COUNTIFS('SPC-CPN_Q&amp;A'!#REF!,AG$1,'SPC-CPN_Q&amp;A'!#REF!,'Writing assignments'!$C77,'SPC-CPN_Q&amp;A'!$O:$O,"Analysis")</f>
        <v>#REF!</v>
      </c>
      <c r="AQ77" s="82" t="s">
        <v>71</v>
      </c>
      <c r="AR77" s="83">
        <v>2</v>
      </c>
      <c r="AS77" s="83">
        <v>0</v>
      </c>
      <c r="AT77" s="83">
        <v>1</v>
      </c>
      <c r="AU77" s="84">
        <v>1</v>
      </c>
      <c r="BB77" s="83" t="e">
        <f t="shared" si="17"/>
        <v>#REF!</v>
      </c>
      <c r="BC77" s="83" t="e">
        <f>COUNTIFS('SPC-CPN_Q&amp;A'!#REF!,AV$1,'SPC-CPN_Q&amp;A'!#REF!,'Writing assignments'!$C77,'SPC-CPN_Q&amp;A'!$O:$O,"Recall")</f>
        <v>#REF!</v>
      </c>
      <c r="BD77" s="83" t="e">
        <f>COUNTIFS('SPC-CPN_Q&amp;A'!#REF!,AV$1,'SPC-CPN_Q&amp;A'!#REF!,'Writing assignments'!$C77,'SPC-CPN_Q&amp;A'!$O:$O,"Application")</f>
        <v>#REF!</v>
      </c>
      <c r="BE77" s="83" t="e">
        <f>COUNTIFS('SPC-CPN_Q&amp;A'!#REF!,AV$1,'SPC-CPN_Q&amp;A'!#REF!,'Writing assignments'!$C77,'SPC-CPN_Q&amp;A'!$O:$O,"Analysis")</f>
        <v>#REF!</v>
      </c>
      <c r="BF77" s="82" t="s">
        <v>71</v>
      </c>
      <c r="BG77" s="83">
        <v>2</v>
      </c>
      <c r="BH77" s="83">
        <v>0</v>
      </c>
      <c r="BI77" s="83">
        <v>2</v>
      </c>
      <c r="BJ77" s="84">
        <v>0</v>
      </c>
      <c r="BL77" s="83" t="e">
        <f t="shared" si="18"/>
        <v>#REF!</v>
      </c>
      <c r="BM77" s="83" t="e">
        <f>COUNTIFS('SPC-CPN_Q&amp;A'!#REF!,BF$1,'SPC-CPN_Q&amp;A'!#REF!,'Writing assignments'!$C77,'SPC-CPN_Q&amp;A'!$O:$O,"Recall")</f>
        <v>#REF!</v>
      </c>
      <c r="BN77" s="83" t="e">
        <f>COUNTIFS('SPC-CPN_Q&amp;A'!#REF!,BF$1,'SPC-CPN_Q&amp;A'!#REF!,'Writing assignments'!$C77,'SPC-CPN_Q&amp;A'!$O:$O,"Application")</f>
        <v>#REF!</v>
      </c>
      <c r="BO77" s="83" t="e">
        <f>COUNTIFS('SPC-CPN_Q&amp;A'!#REF!,BF$1,'SPC-CPN_Q&amp;A'!#REF!,'Writing assignments'!$C77,'SPC-CPN_Q&amp;A'!$O:$O,"Analysis")</f>
        <v>#REF!</v>
      </c>
      <c r="BP77" s="82"/>
      <c r="BT77" s="84"/>
      <c r="BV77" s="83" t="e">
        <f t="shared" si="19"/>
        <v>#REF!</v>
      </c>
      <c r="BW77" s="83" t="e">
        <f>COUNTIFS('SPC-CPN_Q&amp;A'!#REF!,BP$1,'SPC-CPN_Q&amp;A'!#REF!,'Writing assignments'!$C77,'SPC-CPN_Q&amp;A'!$O:$O,"Recall")</f>
        <v>#REF!</v>
      </c>
      <c r="BX77" s="83" t="e">
        <f>COUNTIFS('SPC-CPN_Q&amp;A'!#REF!,BP$1,'SPC-CPN_Q&amp;A'!#REF!,'Writing assignments'!$C77,'SPC-CPN_Q&amp;A'!$O:$O,"Application")</f>
        <v>#REF!</v>
      </c>
      <c r="BY77" s="83" t="e">
        <f>COUNTIFS('SPC-CPN_Q&amp;A'!#REF!,BP$1,'SPC-CPN_Q&amp;A'!#REF!,'Writing assignments'!$C77,'SPC-CPN_Q&amp;A'!$O:$O,"Analysis")</f>
        <v>#REF!</v>
      </c>
      <c r="CA77" s="83">
        <v>0</v>
      </c>
    </row>
    <row r="78" spans="2:79" x14ac:dyDescent="0.25">
      <c r="B78" s="74" t="s">
        <v>3650</v>
      </c>
      <c r="C78" s="74" t="s">
        <v>3653</v>
      </c>
      <c r="D78" s="6"/>
      <c r="E78" s="6">
        <v>0</v>
      </c>
      <c r="F78" s="6">
        <v>3</v>
      </c>
      <c r="G78" s="6">
        <v>2</v>
      </c>
      <c r="H78" s="6">
        <f t="shared" si="12"/>
        <v>5</v>
      </c>
      <c r="J78" s="42">
        <f t="shared" si="11"/>
        <v>0</v>
      </c>
      <c r="K78" s="82" t="s">
        <v>71</v>
      </c>
      <c r="L78" s="84">
        <v>3</v>
      </c>
      <c r="M78" s="82"/>
      <c r="N78" s="83">
        <f t="shared" si="13"/>
        <v>0</v>
      </c>
      <c r="S78" s="83" t="e">
        <f t="shared" si="14"/>
        <v>#REF!</v>
      </c>
      <c r="T78" s="83" t="e">
        <f>COUNTIFS('SPC-CPN_Q&amp;A'!#REF!,M$1,'SPC-CPN_Q&amp;A'!#REF!,'Writing assignments'!$C78,'SPC-CPN_Q&amp;A'!$O:$O,"Recall")</f>
        <v>#REF!</v>
      </c>
      <c r="U78" s="83" t="e">
        <f>COUNTIFS('SPC-CPN_Q&amp;A'!#REF!,M$1,'SPC-CPN_Q&amp;A'!#REF!,'Writing assignments'!$C78,'SPC-CPN_Q&amp;A'!$O:$O,"Application")</f>
        <v>#REF!</v>
      </c>
      <c r="V78" s="84" t="e">
        <f>COUNTIFS('SPC-CPN_Q&amp;A'!#REF!,M$1,'SPC-CPN_Q&amp;A'!#REF!,'Writing assignments'!$C78,'SPC-CPN_Q&amp;A'!$O:$O,"Analysis")</f>
        <v>#REF!</v>
      </c>
      <c r="AA78" s="84"/>
      <c r="AC78" s="83" t="e">
        <f t="shared" si="15"/>
        <v>#REF!</v>
      </c>
      <c r="AD78" s="83" t="e">
        <f>COUNTIFS('SPC-CPN_Q&amp;A'!#REF!,W$1,'SPC-CPN_Q&amp;A'!#REF!,'Writing assignments'!$C78,'SPC-CPN_Q&amp;A'!$O:$O,"Recall")</f>
        <v>#REF!</v>
      </c>
      <c r="AE78" s="83" t="e">
        <f>COUNTIFS('SPC-CPN_Q&amp;A'!#REF!,W$1,'SPC-CPN_Q&amp;A'!#REF!,'Writing assignments'!$C78,'SPC-CPN_Q&amp;A'!$O:$O,"Application")</f>
        <v>#REF!</v>
      </c>
      <c r="AF78" s="83" t="e">
        <f>COUNTIFS('SPC-CPN_Q&amp;A'!#REF!,W$1,'SPC-CPN_Q&amp;A'!#REF!,'Writing assignments'!$C78,'SPC-CPN_Q&amp;A'!$O:$O,"Analysis")</f>
        <v>#REF!</v>
      </c>
      <c r="AG78" s="82"/>
      <c r="AK78" s="84"/>
      <c r="AM78" s="83" t="e">
        <f t="shared" si="16"/>
        <v>#REF!</v>
      </c>
      <c r="AN78" s="83" t="e">
        <f>COUNTIFS('SPC-CPN_Q&amp;A'!#REF!,AG$1,'SPC-CPN_Q&amp;A'!#REF!,'Writing assignments'!$C78,'SPC-CPN_Q&amp;A'!$O:$O,"Recall")</f>
        <v>#REF!</v>
      </c>
      <c r="AO78" s="83" t="e">
        <f>COUNTIFS('SPC-CPN_Q&amp;A'!#REF!,AG$1,'SPC-CPN_Q&amp;A'!#REF!,'Writing assignments'!$C78,'SPC-CPN_Q&amp;A'!$O:$O,"Application")</f>
        <v>#REF!</v>
      </c>
      <c r="AP78" s="83" t="e">
        <f>COUNTIFS('SPC-CPN_Q&amp;A'!#REF!,AG$1,'SPC-CPN_Q&amp;A'!#REF!,'Writing assignments'!$C78,'SPC-CPN_Q&amp;A'!$O:$O,"Analysis")</f>
        <v>#REF!</v>
      </c>
      <c r="AQ78" s="82" t="s">
        <v>71</v>
      </c>
      <c r="AR78" s="83">
        <v>2</v>
      </c>
      <c r="AS78" s="83">
        <v>0</v>
      </c>
      <c r="AT78" s="83">
        <v>1</v>
      </c>
      <c r="AU78" s="84">
        <v>1</v>
      </c>
      <c r="BB78" s="83" t="e">
        <f t="shared" si="17"/>
        <v>#REF!</v>
      </c>
      <c r="BC78" s="83" t="e">
        <f>COUNTIFS('SPC-CPN_Q&amp;A'!#REF!,AV$1,'SPC-CPN_Q&amp;A'!#REF!,'Writing assignments'!$C78,'SPC-CPN_Q&amp;A'!$O:$O,"Recall")</f>
        <v>#REF!</v>
      </c>
      <c r="BD78" s="83" t="e">
        <f>COUNTIFS('SPC-CPN_Q&amp;A'!#REF!,AV$1,'SPC-CPN_Q&amp;A'!#REF!,'Writing assignments'!$C78,'SPC-CPN_Q&amp;A'!$O:$O,"Application")</f>
        <v>#REF!</v>
      </c>
      <c r="BE78" s="83" t="e">
        <f>COUNTIFS('SPC-CPN_Q&amp;A'!#REF!,AV$1,'SPC-CPN_Q&amp;A'!#REF!,'Writing assignments'!$C78,'SPC-CPN_Q&amp;A'!$O:$O,"Analysis")</f>
        <v>#REF!</v>
      </c>
      <c r="BF78" s="82" t="s">
        <v>71</v>
      </c>
      <c r="BG78" s="83">
        <v>2</v>
      </c>
      <c r="BH78" s="83">
        <v>0</v>
      </c>
      <c r="BI78" s="83">
        <v>1</v>
      </c>
      <c r="BJ78" s="84">
        <v>1</v>
      </c>
      <c r="BL78" s="83" t="e">
        <f t="shared" si="18"/>
        <v>#REF!</v>
      </c>
      <c r="BM78" s="83" t="e">
        <f>COUNTIFS('SPC-CPN_Q&amp;A'!#REF!,BF$1,'SPC-CPN_Q&amp;A'!#REF!,'Writing assignments'!$C78,'SPC-CPN_Q&amp;A'!$O:$O,"Recall")</f>
        <v>#REF!</v>
      </c>
      <c r="BN78" s="83" t="e">
        <f>COUNTIFS('SPC-CPN_Q&amp;A'!#REF!,BF$1,'SPC-CPN_Q&amp;A'!#REF!,'Writing assignments'!$C78,'SPC-CPN_Q&amp;A'!$O:$O,"Application")</f>
        <v>#REF!</v>
      </c>
      <c r="BO78" s="83" t="e">
        <f>COUNTIFS('SPC-CPN_Q&amp;A'!#REF!,BF$1,'SPC-CPN_Q&amp;A'!#REF!,'Writing assignments'!$C78,'SPC-CPN_Q&amp;A'!$O:$O,"Analysis")</f>
        <v>#REF!</v>
      </c>
      <c r="BP78" s="82"/>
      <c r="BT78" s="84"/>
      <c r="BV78" s="83" t="e">
        <f t="shared" si="19"/>
        <v>#REF!</v>
      </c>
      <c r="BW78" s="83" t="e">
        <f>COUNTIFS('SPC-CPN_Q&amp;A'!#REF!,BP$1,'SPC-CPN_Q&amp;A'!#REF!,'Writing assignments'!$C78,'SPC-CPN_Q&amp;A'!$O:$O,"Recall")</f>
        <v>#REF!</v>
      </c>
      <c r="BX78" s="83" t="e">
        <f>COUNTIFS('SPC-CPN_Q&amp;A'!#REF!,BP$1,'SPC-CPN_Q&amp;A'!#REF!,'Writing assignments'!$C78,'SPC-CPN_Q&amp;A'!$O:$O,"Application")</f>
        <v>#REF!</v>
      </c>
      <c r="BY78" s="83" t="e">
        <f>COUNTIFS('SPC-CPN_Q&amp;A'!#REF!,BP$1,'SPC-CPN_Q&amp;A'!#REF!,'Writing assignments'!$C78,'SPC-CPN_Q&amp;A'!$O:$O,"Analysis")</f>
        <v>#REF!</v>
      </c>
      <c r="CA78" s="83">
        <v>0</v>
      </c>
    </row>
    <row r="79" spans="2:79" x14ac:dyDescent="0.25">
      <c r="B79" s="74" t="s">
        <v>3650</v>
      </c>
      <c r="C79" s="74" t="s">
        <v>3654</v>
      </c>
      <c r="D79" s="6"/>
      <c r="E79" s="6">
        <v>1</v>
      </c>
      <c r="F79" s="6">
        <v>3</v>
      </c>
      <c r="G79" s="6">
        <v>1</v>
      </c>
      <c r="H79" s="6">
        <f t="shared" si="12"/>
        <v>5</v>
      </c>
      <c r="J79" s="42">
        <f t="shared" si="11"/>
        <v>0</v>
      </c>
      <c r="K79" s="82" t="s">
        <v>71</v>
      </c>
      <c r="L79" s="84">
        <v>1</v>
      </c>
      <c r="M79" s="82"/>
      <c r="N79" s="83">
        <f t="shared" si="13"/>
        <v>0</v>
      </c>
      <c r="S79" s="83" t="e">
        <f t="shared" si="14"/>
        <v>#REF!</v>
      </c>
      <c r="T79" s="83" t="e">
        <f>COUNTIFS('SPC-CPN_Q&amp;A'!#REF!,M$1,'SPC-CPN_Q&amp;A'!#REF!,'Writing assignments'!$C79,'SPC-CPN_Q&amp;A'!$O:$O,"Recall")</f>
        <v>#REF!</v>
      </c>
      <c r="U79" s="83" t="e">
        <f>COUNTIFS('SPC-CPN_Q&amp;A'!#REF!,M$1,'SPC-CPN_Q&amp;A'!#REF!,'Writing assignments'!$C79,'SPC-CPN_Q&amp;A'!$O:$O,"Application")</f>
        <v>#REF!</v>
      </c>
      <c r="V79" s="84" t="e">
        <f>COUNTIFS('SPC-CPN_Q&amp;A'!#REF!,M$1,'SPC-CPN_Q&amp;A'!#REF!,'Writing assignments'!$C79,'SPC-CPN_Q&amp;A'!$O:$O,"Analysis")</f>
        <v>#REF!</v>
      </c>
      <c r="W79" s="83" t="s">
        <v>71</v>
      </c>
      <c r="X79" s="83">
        <v>2</v>
      </c>
      <c r="Y79" s="83">
        <v>1</v>
      </c>
      <c r="Z79" s="83">
        <v>0</v>
      </c>
      <c r="AA79" s="84">
        <v>1</v>
      </c>
      <c r="AC79" s="83" t="e">
        <f t="shared" si="15"/>
        <v>#REF!</v>
      </c>
      <c r="AD79" s="83" t="e">
        <f>COUNTIFS('SPC-CPN_Q&amp;A'!#REF!,W$1,'SPC-CPN_Q&amp;A'!#REF!,'Writing assignments'!$C79,'SPC-CPN_Q&amp;A'!$O:$O,"Recall")</f>
        <v>#REF!</v>
      </c>
      <c r="AE79" s="83" t="e">
        <f>COUNTIFS('SPC-CPN_Q&amp;A'!#REF!,W$1,'SPC-CPN_Q&amp;A'!#REF!,'Writing assignments'!$C79,'SPC-CPN_Q&amp;A'!$O:$O,"Application")</f>
        <v>#REF!</v>
      </c>
      <c r="AF79" s="83" t="e">
        <f>COUNTIFS('SPC-CPN_Q&amp;A'!#REF!,W$1,'SPC-CPN_Q&amp;A'!#REF!,'Writing assignments'!$C79,'SPC-CPN_Q&amp;A'!$O:$O,"Analysis")</f>
        <v>#REF!</v>
      </c>
      <c r="AG79" s="82"/>
      <c r="AK79" s="84"/>
      <c r="AM79" s="83" t="e">
        <f t="shared" si="16"/>
        <v>#REF!</v>
      </c>
      <c r="AN79" s="83" t="e">
        <f>COUNTIFS('SPC-CPN_Q&amp;A'!#REF!,AG$1,'SPC-CPN_Q&amp;A'!#REF!,'Writing assignments'!$C79,'SPC-CPN_Q&amp;A'!$O:$O,"Recall")</f>
        <v>#REF!</v>
      </c>
      <c r="AO79" s="83" t="e">
        <f>COUNTIFS('SPC-CPN_Q&amp;A'!#REF!,AG$1,'SPC-CPN_Q&amp;A'!#REF!,'Writing assignments'!$C79,'SPC-CPN_Q&amp;A'!$O:$O,"Application")</f>
        <v>#REF!</v>
      </c>
      <c r="AP79" s="83" t="e">
        <f>COUNTIFS('SPC-CPN_Q&amp;A'!#REF!,AG$1,'SPC-CPN_Q&amp;A'!#REF!,'Writing assignments'!$C79,'SPC-CPN_Q&amp;A'!$O:$O,"Analysis")</f>
        <v>#REF!</v>
      </c>
      <c r="AQ79" s="82"/>
      <c r="AR79" s="83">
        <v>0</v>
      </c>
      <c r="AU79" s="84"/>
      <c r="BB79" s="83" t="e">
        <f t="shared" si="17"/>
        <v>#REF!</v>
      </c>
      <c r="BC79" s="83" t="e">
        <f>COUNTIFS('SPC-CPN_Q&amp;A'!#REF!,AV$1,'SPC-CPN_Q&amp;A'!#REF!,'Writing assignments'!$C79,'SPC-CPN_Q&amp;A'!$O:$O,"Recall")</f>
        <v>#REF!</v>
      </c>
      <c r="BD79" s="83" t="e">
        <f>COUNTIFS('SPC-CPN_Q&amp;A'!#REF!,AV$1,'SPC-CPN_Q&amp;A'!#REF!,'Writing assignments'!$C79,'SPC-CPN_Q&amp;A'!$O:$O,"Application")</f>
        <v>#REF!</v>
      </c>
      <c r="BE79" s="83" t="e">
        <f>COUNTIFS('SPC-CPN_Q&amp;A'!#REF!,AV$1,'SPC-CPN_Q&amp;A'!#REF!,'Writing assignments'!$C79,'SPC-CPN_Q&amp;A'!$O:$O,"Analysis")</f>
        <v>#REF!</v>
      </c>
      <c r="BF79" s="82"/>
      <c r="BJ79" s="84"/>
      <c r="BL79" s="83" t="e">
        <f t="shared" si="18"/>
        <v>#REF!</v>
      </c>
      <c r="BM79" s="83" t="e">
        <f>COUNTIFS('SPC-CPN_Q&amp;A'!#REF!,BF$1,'SPC-CPN_Q&amp;A'!#REF!,'Writing assignments'!$C79,'SPC-CPN_Q&amp;A'!$O:$O,"Recall")</f>
        <v>#REF!</v>
      </c>
      <c r="BN79" s="83" t="e">
        <f>COUNTIFS('SPC-CPN_Q&amp;A'!#REF!,BF$1,'SPC-CPN_Q&amp;A'!#REF!,'Writing assignments'!$C79,'SPC-CPN_Q&amp;A'!$O:$O,"Application")</f>
        <v>#REF!</v>
      </c>
      <c r="BO79" s="83" t="e">
        <f>COUNTIFS('SPC-CPN_Q&amp;A'!#REF!,BF$1,'SPC-CPN_Q&amp;A'!#REF!,'Writing assignments'!$C79,'SPC-CPN_Q&amp;A'!$O:$O,"Analysis")</f>
        <v>#REF!</v>
      </c>
      <c r="BP79" s="82" t="s">
        <v>71</v>
      </c>
      <c r="BQ79" s="83">
        <v>2</v>
      </c>
      <c r="BR79" s="83">
        <v>0</v>
      </c>
      <c r="BS79" s="83">
        <v>2</v>
      </c>
      <c r="BT79" s="84">
        <v>0</v>
      </c>
      <c r="BV79" s="83" t="e">
        <f t="shared" si="19"/>
        <v>#REF!</v>
      </c>
      <c r="BW79" s="83" t="e">
        <f>COUNTIFS('SPC-CPN_Q&amp;A'!#REF!,BP$1,'SPC-CPN_Q&amp;A'!#REF!,'Writing assignments'!$C79,'SPC-CPN_Q&amp;A'!$O:$O,"Recall")</f>
        <v>#REF!</v>
      </c>
      <c r="BX79" s="83" t="e">
        <f>COUNTIFS('SPC-CPN_Q&amp;A'!#REF!,BP$1,'SPC-CPN_Q&amp;A'!#REF!,'Writing assignments'!$C79,'SPC-CPN_Q&amp;A'!$O:$O,"Application")</f>
        <v>#REF!</v>
      </c>
      <c r="BY79" s="83" t="e">
        <f>COUNTIFS('SPC-CPN_Q&amp;A'!#REF!,BP$1,'SPC-CPN_Q&amp;A'!#REF!,'Writing assignments'!$C79,'SPC-CPN_Q&amp;A'!$O:$O,"Analysis")</f>
        <v>#REF!</v>
      </c>
      <c r="CA79" s="83">
        <v>0</v>
      </c>
    </row>
    <row r="80" spans="2:79" x14ac:dyDescent="0.25">
      <c r="B80" s="74" t="s">
        <v>3650</v>
      </c>
      <c r="C80" s="74" t="s">
        <v>3655</v>
      </c>
      <c r="D80" s="6"/>
      <c r="E80" s="6">
        <v>1</v>
      </c>
      <c r="F80" s="6">
        <v>3</v>
      </c>
      <c r="G80" s="6">
        <v>1</v>
      </c>
      <c r="H80" s="6">
        <f t="shared" si="12"/>
        <v>5</v>
      </c>
      <c r="J80" s="42">
        <f t="shared" si="11"/>
        <v>0</v>
      </c>
      <c r="K80" s="82" t="s">
        <v>71</v>
      </c>
      <c r="L80" s="84">
        <v>1</v>
      </c>
      <c r="M80" s="82"/>
      <c r="N80" s="83">
        <f t="shared" si="13"/>
        <v>0</v>
      </c>
      <c r="S80" s="83" t="e">
        <f t="shared" si="14"/>
        <v>#REF!</v>
      </c>
      <c r="T80" s="83" t="e">
        <f>COUNTIFS('SPC-CPN_Q&amp;A'!#REF!,M$1,'SPC-CPN_Q&amp;A'!#REF!,'Writing assignments'!$C80,'SPC-CPN_Q&amp;A'!$O:$O,"Recall")</f>
        <v>#REF!</v>
      </c>
      <c r="U80" s="83" t="e">
        <f>COUNTIFS('SPC-CPN_Q&amp;A'!#REF!,M$1,'SPC-CPN_Q&amp;A'!#REF!,'Writing assignments'!$C80,'SPC-CPN_Q&amp;A'!$O:$O,"Application")</f>
        <v>#REF!</v>
      </c>
      <c r="V80" s="84" t="e">
        <f>COUNTIFS('SPC-CPN_Q&amp;A'!#REF!,M$1,'SPC-CPN_Q&amp;A'!#REF!,'Writing assignments'!$C80,'SPC-CPN_Q&amp;A'!$O:$O,"Analysis")</f>
        <v>#REF!</v>
      </c>
      <c r="W80" s="83" t="s">
        <v>71</v>
      </c>
      <c r="X80" s="83">
        <v>2</v>
      </c>
      <c r="Y80" s="83">
        <v>1</v>
      </c>
      <c r="Z80" s="83">
        <v>1</v>
      </c>
      <c r="AA80" s="84">
        <v>0</v>
      </c>
      <c r="AC80" s="83" t="e">
        <f t="shared" si="15"/>
        <v>#REF!</v>
      </c>
      <c r="AD80" s="83" t="e">
        <f>COUNTIFS('SPC-CPN_Q&amp;A'!#REF!,W$1,'SPC-CPN_Q&amp;A'!#REF!,'Writing assignments'!$C80,'SPC-CPN_Q&amp;A'!$O:$O,"Recall")</f>
        <v>#REF!</v>
      </c>
      <c r="AE80" s="83" t="e">
        <f>COUNTIFS('SPC-CPN_Q&amp;A'!#REF!,W$1,'SPC-CPN_Q&amp;A'!#REF!,'Writing assignments'!$C80,'SPC-CPN_Q&amp;A'!$O:$O,"Application")</f>
        <v>#REF!</v>
      </c>
      <c r="AF80" s="83" t="e">
        <f>COUNTIFS('SPC-CPN_Q&amp;A'!#REF!,W$1,'SPC-CPN_Q&amp;A'!#REF!,'Writing assignments'!$C80,'SPC-CPN_Q&amp;A'!$O:$O,"Analysis")</f>
        <v>#REF!</v>
      </c>
      <c r="AG80" s="82"/>
      <c r="AK80" s="84"/>
      <c r="AM80" s="83" t="e">
        <f t="shared" si="16"/>
        <v>#REF!</v>
      </c>
      <c r="AN80" s="83" t="e">
        <f>COUNTIFS('SPC-CPN_Q&amp;A'!#REF!,AG$1,'SPC-CPN_Q&amp;A'!#REF!,'Writing assignments'!$C80,'SPC-CPN_Q&amp;A'!$O:$O,"Recall")</f>
        <v>#REF!</v>
      </c>
      <c r="AO80" s="83" t="e">
        <f>COUNTIFS('SPC-CPN_Q&amp;A'!#REF!,AG$1,'SPC-CPN_Q&amp;A'!#REF!,'Writing assignments'!$C80,'SPC-CPN_Q&amp;A'!$O:$O,"Application")</f>
        <v>#REF!</v>
      </c>
      <c r="AP80" s="83" t="e">
        <f>COUNTIFS('SPC-CPN_Q&amp;A'!#REF!,AG$1,'SPC-CPN_Q&amp;A'!#REF!,'Writing assignments'!$C80,'SPC-CPN_Q&amp;A'!$O:$O,"Analysis")</f>
        <v>#REF!</v>
      </c>
      <c r="AQ80" s="82"/>
      <c r="AR80" s="83">
        <v>0</v>
      </c>
      <c r="AU80" s="84"/>
      <c r="BB80" s="83" t="e">
        <f t="shared" si="17"/>
        <v>#REF!</v>
      </c>
      <c r="BC80" s="83" t="e">
        <f>COUNTIFS('SPC-CPN_Q&amp;A'!#REF!,AV$1,'SPC-CPN_Q&amp;A'!#REF!,'Writing assignments'!$C80,'SPC-CPN_Q&amp;A'!$O:$O,"Recall")</f>
        <v>#REF!</v>
      </c>
      <c r="BD80" s="83" t="e">
        <f>COUNTIFS('SPC-CPN_Q&amp;A'!#REF!,AV$1,'SPC-CPN_Q&amp;A'!#REF!,'Writing assignments'!$C80,'SPC-CPN_Q&amp;A'!$O:$O,"Application")</f>
        <v>#REF!</v>
      </c>
      <c r="BE80" s="83" t="e">
        <f>COUNTIFS('SPC-CPN_Q&amp;A'!#REF!,AV$1,'SPC-CPN_Q&amp;A'!#REF!,'Writing assignments'!$C80,'SPC-CPN_Q&amp;A'!$O:$O,"Analysis")</f>
        <v>#REF!</v>
      </c>
      <c r="BF80" s="82"/>
      <c r="BJ80" s="84"/>
      <c r="BL80" s="83" t="e">
        <f t="shared" si="18"/>
        <v>#REF!</v>
      </c>
      <c r="BM80" s="83" t="e">
        <f>COUNTIFS('SPC-CPN_Q&amp;A'!#REF!,BF$1,'SPC-CPN_Q&amp;A'!#REF!,'Writing assignments'!$C80,'SPC-CPN_Q&amp;A'!$O:$O,"Recall")</f>
        <v>#REF!</v>
      </c>
      <c r="BN80" s="83" t="e">
        <f>COUNTIFS('SPC-CPN_Q&amp;A'!#REF!,BF$1,'SPC-CPN_Q&amp;A'!#REF!,'Writing assignments'!$C80,'SPC-CPN_Q&amp;A'!$O:$O,"Application")</f>
        <v>#REF!</v>
      </c>
      <c r="BO80" s="83" t="e">
        <f>COUNTIFS('SPC-CPN_Q&amp;A'!#REF!,BF$1,'SPC-CPN_Q&amp;A'!#REF!,'Writing assignments'!$C80,'SPC-CPN_Q&amp;A'!$O:$O,"Analysis")</f>
        <v>#REF!</v>
      </c>
      <c r="BP80" s="82" t="s">
        <v>71</v>
      </c>
      <c r="BQ80" s="83">
        <v>2</v>
      </c>
      <c r="BR80" s="83">
        <v>0</v>
      </c>
      <c r="BS80" s="83">
        <v>1</v>
      </c>
      <c r="BT80" s="84">
        <v>1</v>
      </c>
      <c r="BV80" s="83" t="e">
        <f t="shared" si="19"/>
        <v>#REF!</v>
      </c>
      <c r="BW80" s="83" t="e">
        <f>COUNTIFS('SPC-CPN_Q&amp;A'!#REF!,BP$1,'SPC-CPN_Q&amp;A'!#REF!,'Writing assignments'!$C80,'SPC-CPN_Q&amp;A'!$O:$O,"Recall")</f>
        <v>#REF!</v>
      </c>
      <c r="BX80" s="83" t="e">
        <f>COUNTIFS('SPC-CPN_Q&amp;A'!#REF!,BP$1,'SPC-CPN_Q&amp;A'!#REF!,'Writing assignments'!$C80,'SPC-CPN_Q&amp;A'!$O:$O,"Application")</f>
        <v>#REF!</v>
      </c>
      <c r="BY80" s="83" t="e">
        <f>COUNTIFS('SPC-CPN_Q&amp;A'!#REF!,BP$1,'SPC-CPN_Q&amp;A'!#REF!,'Writing assignments'!$C80,'SPC-CPN_Q&amp;A'!$O:$O,"Analysis")</f>
        <v>#REF!</v>
      </c>
      <c r="CA80" s="83">
        <v>0</v>
      </c>
    </row>
    <row r="81" spans="2:79" x14ac:dyDescent="0.25">
      <c r="B81" s="74" t="s">
        <v>3650</v>
      </c>
      <c r="C81" s="74" t="s">
        <v>3656</v>
      </c>
      <c r="D81" s="6"/>
      <c r="E81" s="6">
        <v>1</v>
      </c>
      <c r="F81" s="6">
        <v>3</v>
      </c>
      <c r="G81" s="6">
        <v>1</v>
      </c>
      <c r="H81" s="6">
        <f t="shared" si="12"/>
        <v>5</v>
      </c>
      <c r="J81" s="42">
        <f t="shared" si="11"/>
        <v>0</v>
      </c>
      <c r="K81" s="82" t="s">
        <v>71</v>
      </c>
      <c r="L81" s="84">
        <v>2</v>
      </c>
      <c r="M81" s="82" t="s">
        <v>71</v>
      </c>
      <c r="N81" s="83">
        <f t="shared" si="13"/>
        <v>1</v>
      </c>
      <c r="P81" s="83">
        <v>1</v>
      </c>
      <c r="S81" s="83" t="e">
        <f t="shared" si="14"/>
        <v>#REF!</v>
      </c>
      <c r="T81" s="83" t="e">
        <f>COUNTIFS('SPC-CPN_Q&amp;A'!#REF!,M$1,'SPC-CPN_Q&amp;A'!#REF!,'Writing assignments'!$C81,'SPC-CPN_Q&amp;A'!$O:$O,"Recall")</f>
        <v>#REF!</v>
      </c>
      <c r="U81" s="83" t="e">
        <f>COUNTIFS('SPC-CPN_Q&amp;A'!#REF!,M$1,'SPC-CPN_Q&amp;A'!#REF!,'Writing assignments'!$C81,'SPC-CPN_Q&amp;A'!$O:$O,"Application")</f>
        <v>#REF!</v>
      </c>
      <c r="V81" s="84" t="e">
        <f>COUNTIFS('SPC-CPN_Q&amp;A'!#REF!,M$1,'SPC-CPN_Q&amp;A'!#REF!,'Writing assignments'!$C81,'SPC-CPN_Q&amp;A'!$O:$O,"Analysis")</f>
        <v>#REF!</v>
      </c>
      <c r="AA81" s="84"/>
      <c r="AC81" s="83" t="e">
        <f t="shared" si="15"/>
        <v>#REF!</v>
      </c>
      <c r="AD81" s="83" t="e">
        <f>COUNTIFS('SPC-CPN_Q&amp;A'!#REF!,W$1,'SPC-CPN_Q&amp;A'!#REF!,'Writing assignments'!$C81,'SPC-CPN_Q&amp;A'!$O:$O,"Recall")</f>
        <v>#REF!</v>
      </c>
      <c r="AE81" s="83" t="e">
        <f>COUNTIFS('SPC-CPN_Q&amp;A'!#REF!,W$1,'SPC-CPN_Q&amp;A'!#REF!,'Writing assignments'!$C81,'SPC-CPN_Q&amp;A'!$O:$O,"Application")</f>
        <v>#REF!</v>
      </c>
      <c r="AF81" s="83" t="e">
        <f>COUNTIFS('SPC-CPN_Q&amp;A'!#REF!,W$1,'SPC-CPN_Q&amp;A'!#REF!,'Writing assignments'!$C81,'SPC-CPN_Q&amp;A'!$O:$O,"Analysis")</f>
        <v>#REF!</v>
      </c>
      <c r="AG81" s="82" t="s">
        <v>71</v>
      </c>
      <c r="AH81" s="83">
        <v>2</v>
      </c>
      <c r="AI81" s="83">
        <v>0</v>
      </c>
      <c r="AJ81" s="83">
        <v>1</v>
      </c>
      <c r="AK81" s="84">
        <v>1</v>
      </c>
      <c r="AM81" s="83" t="e">
        <f t="shared" si="16"/>
        <v>#REF!</v>
      </c>
      <c r="AN81" s="83" t="e">
        <f>COUNTIFS('SPC-CPN_Q&amp;A'!#REF!,AG$1,'SPC-CPN_Q&amp;A'!#REF!,'Writing assignments'!$C81,'SPC-CPN_Q&amp;A'!$O:$O,"Recall")</f>
        <v>#REF!</v>
      </c>
      <c r="AO81" s="83" t="e">
        <f>COUNTIFS('SPC-CPN_Q&amp;A'!#REF!,AG$1,'SPC-CPN_Q&amp;A'!#REF!,'Writing assignments'!$C81,'SPC-CPN_Q&amp;A'!$O:$O,"Application")</f>
        <v>#REF!</v>
      </c>
      <c r="AP81" s="83" t="e">
        <f>COUNTIFS('SPC-CPN_Q&amp;A'!#REF!,AG$1,'SPC-CPN_Q&amp;A'!#REF!,'Writing assignments'!$C81,'SPC-CPN_Q&amp;A'!$O:$O,"Analysis")</f>
        <v>#REF!</v>
      </c>
      <c r="AQ81" s="82" t="s">
        <v>71</v>
      </c>
      <c r="AR81" s="83">
        <v>2</v>
      </c>
      <c r="AS81" s="83">
        <v>0</v>
      </c>
      <c r="AT81" s="83">
        <v>2</v>
      </c>
      <c r="AU81" s="84">
        <v>0</v>
      </c>
      <c r="BB81" s="83" t="e">
        <f t="shared" si="17"/>
        <v>#REF!</v>
      </c>
      <c r="BC81" s="83" t="e">
        <f>COUNTIFS('SPC-CPN_Q&amp;A'!#REF!,AV$1,'SPC-CPN_Q&amp;A'!#REF!,'Writing assignments'!$C81,'SPC-CPN_Q&amp;A'!$O:$O,"Recall")</f>
        <v>#REF!</v>
      </c>
      <c r="BD81" s="83" t="e">
        <f>COUNTIFS('SPC-CPN_Q&amp;A'!#REF!,AV$1,'SPC-CPN_Q&amp;A'!#REF!,'Writing assignments'!$C81,'SPC-CPN_Q&amp;A'!$O:$O,"Application")</f>
        <v>#REF!</v>
      </c>
      <c r="BE81" s="83" t="e">
        <f>COUNTIFS('SPC-CPN_Q&amp;A'!#REF!,AV$1,'SPC-CPN_Q&amp;A'!#REF!,'Writing assignments'!$C81,'SPC-CPN_Q&amp;A'!$O:$O,"Analysis")</f>
        <v>#REF!</v>
      </c>
      <c r="BF81" s="82"/>
      <c r="BJ81" s="84"/>
      <c r="BL81" s="83" t="e">
        <f t="shared" si="18"/>
        <v>#REF!</v>
      </c>
      <c r="BM81" s="83" t="e">
        <f>COUNTIFS('SPC-CPN_Q&amp;A'!#REF!,BF$1,'SPC-CPN_Q&amp;A'!#REF!,'Writing assignments'!$C81,'SPC-CPN_Q&amp;A'!$O:$O,"Recall")</f>
        <v>#REF!</v>
      </c>
      <c r="BN81" s="83" t="e">
        <f>COUNTIFS('SPC-CPN_Q&amp;A'!#REF!,BF$1,'SPC-CPN_Q&amp;A'!#REF!,'Writing assignments'!$C81,'SPC-CPN_Q&amp;A'!$O:$O,"Application")</f>
        <v>#REF!</v>
      </c>
      <c r="BO81" s="83" t="e">
        <f>COUNTIFS('SPC-CPN_Q&amp;A'!#REF!,BF$1,'SPC-CPN_Q&amp;A'!#REF!,'Writing assignments'!$C81,'SPC-CPN_Q&amp;A'!$O:$O,"Analysis")</f>
        <v>#REF!</v>
      </c>
      <c r="BP81" s="82"/>
      <c r="BT81" s="84"/>
      <c r="BV81" s="83" t="e">
        <f t="shared" si="19"/>
        <v>#REF!</v>
      </c>
      <c r="BW81" s="83" t="e">
        <f>COUNTIFS('SPC-CPN_Q&amp;A'!#REF!,BP$1,'SPC-CPN_Q&amp;A'!#REF!,'Writing assignments'!$C81,'SPC-CPN_Q&amp;A'!$O:$O,"Recall")</f>
        <v>#REF!</v>
      </c>
      <c r="BX81" s="83" t="e">
        <f>COUNTIFS('SPC-CPN_Q&amp;A'!#REF!,BP$1,'SPC-CPN_Q&amp;A'!#REF!,'Writing assignments'!$C81,'SPC-CPN_Q&amp;A'!$O:$O,"Application")</f>
        <v>#REF!</v>
      </c>
      <c r="BY81" s="83" t="e">
        <f>COUNTIFS('SPC-CPN_Q&amp;A'!#REF!,BP$1,'SPC-CPN_Q&amp;A'!#REF!,'Writing assignments'!$C81,'SPC-CPN_Q&amp;A'!$O:$O,"Analysis")</f>
        <v>#REF!</v>
      </c>
      <c r="CA81" s="83">
        <v>0</v>
      </c>
    </row>
    <row r="82" spans="2:79" x14ac:dyDescent="0.25">
      <c r="B82" s="80" t="s">
        <v>3650</v>
      </c>
      <c r="C82" s="80" t="s">
        <v>3657</v>
      </c>
      <c r="D82" s="79"/>
      <c r="E82" s="79">
        <v>0</v>
      </c>
      <c r="F82" s="79">
        <v>4</v>
      </c>
      <c r="G82" s="79">
        <v>1</v>
      </c>
      <c r="H82" s="79">
        <f t="shared" si="12"/>
        <v>5</v>
      </c>
      <c r="J82" s="42">
        <f t="shared" si="11"/>
        <v>0</v>
      </c>
      <c r="K82" s="82" t="s">
        <v>71</v>
      </c>
      <c r="L82" s="84">
        <v>3</v>
      </c>
      <c r="M82" s="82"/>
      <c r="N82" s="83">
        <f t="shared" si="13"/>
        <v>0</v>
      </c>
      <c r="S82" s="83" t="e">
        <f t="shared" si="14"/>
        <v>#REF!</v>
      </c>
      <c r="T82" s="83" t="e">
        <f>COUNTIFS('SPC-CPN_Q&amp;A'!#REF!,M$1,'SPC-CPN_Q&amp;A'!#REF!,'Writing assignments'!$C82,'SPC-CPN_Q&amp;A'!$O:$O,"Recall")</f>
        <v>#REF!</v>
      </c>
      <c r="U82" s="83" t="e">
        <f>COUNTIFS('SPC-CPN_Q&amp;A'!#REF!,M$1,'SPC-CPN_Q&amp;A'!#REF!,'Writing assignments'!$C82,'SPC-CPN_Q&amp;A'!$O:$O,"Application")</f>
        <v>#REF!</v>
      </c>
      <c r="V82" s="84" t="e">
        <f>COUNTIFS('SPC-CPN_Q&amp;A'!#REF!,M$1,'SPC-CPN_Q&amp;A'!#REF!,'Writing assignments'!$C82,'SPC-CPN_Q&amp;A'!$O:$O,"Analysis")</f>
        <v>#REF!</v>
      </c>
      <c r="AA82" s="84"/>
      <c r="AC82" s="83" t="e">
        <f t="shared" si="15"/>
        <v>#REF!</v>
      </c>
      <c r="AD82" s="83" t="e">
        <f>COUNTIFS('SPC-CPN_Q&amp;A'!#REF!,W$1,'SPC-CPN_Q&amp;A'!#REF!,'Writing assignments'!$C82,'SPC-CPN_Q&amp;A'!$O:$O,"Recall")</f>
        <v>#REF!</v>
      </c>
      <c r="AE82" s="83" t="e">
        <f>COUNTIFS('SPC-CPN_Q&amp;A'!#REF!,W$1,'SPC-CPN_Q&amp;A'!#REF!,'Writing assignments'!$C82,'SPC-CPN_Q&amp;A'!$O:$O,"Application")</f>
        <v>#REF!</v>
      </c>
      <c r="AF82" s="83" t="e">
        <f>COUNTIFS('SPC-CPN_Q&amp;A'!#REF!,W$1,'SPC-CPN_Q&amp;A'!#REF!,'Writing assignments'!$C82,'SPC-CPN_Q&amp;A'!$O:$O,"Analysis")</f>
        <v>#REF!</v>
      </c>
      <c r="AG82" s="82"/>
      <c r="AK82" s="84"/>
      <c r="AM82" s="83" t="e">
        <f t="shared" si="16"/>
        <v>#REF!</v>
      </c>
      <c r="AN82" s="83" t="e">
        <f>COUNTIFS('SPC-CPN_Q&amp;A'!#REF!,AG$1,'SPC-CPN_Q&amp;A'!#REF!,'Writing assignments'!$C82,'SPC-CPN_Q&amp;A'!$O:$O,"Recall")</f>
        <v>#REF!</v>
      </c>
      <c r="AO82" s="83" t="e">
        <f>COUNTIFS('SPC-CPN_Q&amp;A'!#REF!,AG$1,'SPC-CPN_Q&amp;A'!#REF!,'Writing assignments'!$C82,'SPC-CPN_Q&amp;A'!$O:$O,"Application")</f>
        <v>#REF!</v>
      </c>
      <c r="AP82" s="83" t="e">
        <f>COUNTIFS('SPC-CPN_Q&amp;A'!#REF!,AG$1,'SPC-CPN_Q&amp;A'!#REF!,'Writing assignments'!$C82,'SPC-CPN_Q&amp;A'!$O:$O,"Analysis")</f>
        <v>#REF!</v>
      </c>
      <c r="AQ82" s="82"/>
      <c r="AR82" s="83">
        <v>0</v>
      </c>
      <c r="AU82" s="84"/>
      <c r="BB82" s="83" t="e">
        <f t="shared" si="17"/>
        <v>#REF!</v>
      </c>
      <c r="BC82" s="83" t="e">
        <f>COUNTIFS('SPC-CPN_Q&amp;A'!#REF!,AV$1,'SPC-CPN_Q&amp;A'!#REF!,'Writing assignments'!$C82,'SPC-CPN_Q&amp;A'!$O:$O,"Recall")</f>
        <v>#REF!</v>
      </c>
      <c r="BD82" s="83" t="e">
        <f>COUNTIFS('SPC-CPN_Q&amp;A'!#REF!,AV$1,'SPC-CPN_Q&amp;A'!#REF!,'Writing assignments'!$C82,'SPC-CPN_Q&amp;A'!$O:$O,"Application")</f>
        <v>#REF!</v>
      </c>
      <c r="BE82" s="83" t="e">
        <f>COUNTIFS('SPC-CPN_Q&amp;A'!#REF!,AV$1,'SPC-CPN_Q&amp;A'!#REF!,'Writing assignments'!$C82,'SPC-CPN_Q&amp;A'!$O:$O,"Analysis")</f>
        <v>#REF!</v>
      </c>
      <c r="BF82" s="82" t="s">
        <v>71</v>
      </c>
      <c r="BG82" s="83">
        <v>2</v>
      </c>
      <c r="BH82" s="83">
        <v>0</v>
      </c>
      <c r="BI82" s="83">
        <v>1</v>
      </c>
      <c r="BJ82" s="84">
        <v>1</v>
      </c>
      <c r="BL82" s="83" t="e">
        <f t="shared" si="18"/>
        <v>#REF!</v>
      </c>
      <c r="BM82" s="83" t="e">
        <f>COUNTIFS('SPC-CPN_Q&amp;A'!#REF!,BF$1,'SPC-CPN_Q&amp;A'!#REF!,'Writing assignments'!$C82,'SPC-CPN_Q&amp;A'!$O:$O,"Recall")</f>
        <v>#REF!</v>
      </c>
      <c r="BN82" s="83" t="e">
        <f>COUNTIFS('SPC-CPN_Q&amp;A'!#REF!,BF$1,'SPC-CPN_Q&amp;A'!#REF!,'Writing assignments'!$C82,'SPC-CPN_Q&amp;A'!$O:$O,"Application")</f>
        <v>#REF!</v>
      </c>
      <c r="BO82" s="83" t="e">
        <f>COUNTIFS('SPC-CPN_Q&amp;A'!#REF!,BF$1,'SPC-CPN_Q&amp;A'!#REF!,'Writing assignments'!$C82,'SPC-CPN_Q&amp;A'!$O:$O,"Analysis")</f>
        <v>#REF!</v>
      </c>
      <c r="BP82" s="82"/>
      <c r="BT82" s="84"/>
      <c r="BV82" s="83" t="e">
        <f t="shared" si="19"/>
        <v>#REF!</v>
      </c>
      <c r="BW82" s="83" t="e">
        <f>COUNTIFS('SPC-CPN_Q&amp;A'!#REF!,BP$1,'SPC-CPN_Q&amp;A'!#REF!,'Writing assignments'!$C82,'SPC-CPN_Q&amp;A'!$O:$O,"Recall")</f>
        <v>#REF!</v>
      </c>
      <c r="BX82" s="83" t="e">
        <f>COUNTIFS('SPC-CPN_Q&amp;A'!#REF!,BP$1,'SPC-CPN_Q&amp;A'!#REF!,'Writing assignments'!$C82,'SPC-CPN_Q&amp;A'!$O:$O,"Application")</f>
        <v>#REF!</v>
      </c>
      <c r="BY82" s="83" t="e">
        <f>COUNTIFS('SPC-CPN_Q&amp;A'!#REF!,BP$1,'SPC-CPN_Q&amp;A'!#REF!,'Writing assignments'!$C82,'SPC-CPN_Q&amp;A'!$O:$O,"Analysis")</f>
        <v>#REF!</v>
      </c>
      <c r="CA82" s="83">
        <v>0</v>
      </c>
    </row>
    <row r="83" spans="2:79" x14ac:dyDescent="0.25">
      <c r="B83" s="74" t="s">
        <v>3658</v>
      </c>
      <c r="C83" s="74" t="s">
        <v>3659</v>
      </c>
      <c r="D83" s="6"/>
      <c r="E83" s="6">
        <v>1</v>
      </c>
      <c r="F83" s="6">
        <v>5</v>
      </c>
      <c r="G83" s="6">
        <v>0</v>
      </c>
      <c r="H83" s="79">
        <f t="shared" si="12"/>
        <v>6</v>
      </c>
      <c r="I83" s="6"/>
      <c r="J83" s="42">
        <f t="shared" si="11"/>
        <v>0</v>
      </c>
      <c r="K83" s="82" t="s">
        <v>71</v>
      </c>
      <c r="L83" s="84">
        <v>2</v>
      </c>
      <c r="M83" s="82" t="s">
        <v>71</v>
      </c>
      <c r="N83" s="83">
        <f t="shared" si="13"/>
        <v>1</v>
      </c>
      <c r="P83" s="83">
        <v>1</v>
      </c>
      <c r="Q83" s="84"/>
      <c r="S83" s="83" t="e">
        <f t="shared" si="14"/>
        <v>#REF!</v>
      </c>
      <c r="T83" s="83" t="e">
        <f>COUNTIFS('SPC-CPN_Q&amp;A'!#REF!,M$1,'SPC-CPN_Q&amp;A'!#REF!,'Writing assignments'!$C83,'SPC-CPN_Q&amp;A'!$O:$O,"Recall")</f>
        <v>#REF!</v>
      </c>
      <c r="U83" s="83" t="e">
        <f>COUNTIFS('SPC-CPN_Q&amp;A'!#REF!,M$1,'SPC-CPN_Q&amp;A'!#REF!,'Writing assignments'!$C83,'SPC-CPN_Q&amp;A'!$O:$O,"Application")</f>
        <v>#REF!</v>
      </c>
      <c r="V83" s="84" t="e">
        <f>COUNTIFS('SPC-CPN_Q&amp;A'!#REF!,M$1,'SPC-CPN_Q&amp;A'!#REF!,'Writing assignments'!$C83,'SPC-CPN_Q&amp;A'!$O:$O,"Analysis")</f>
        <v>#REF!</v>
      </c>
      <c r="AA83" s="84"/>
      <c r="AC83" s="83" t="e">
        <f t="shared" si="15"/>
        <v>#REF!</v>
      </c>
      <c r="AD83" s="83" t="e">
        <f>COUNTIFS('SPC-CPN_Q&amp;A'!#REF!,W$1,'SPC-CPN_Q&amp;A'!#REF!,'Writing assignments'!$C83,'SPC-CPN_Q&amp;A'!$O:$O,"Recall")</f>
        <v>#REF!</v>
      </c>
      <c r="AE83" s="83" t="e">
        <f>COUNTIFS('SPC-CPN_Q&amp;A'!#REF!,W$1,'SPC-CPN_Q&amp;A'!#REF!,'Writing assignments'!$C83,'SPC-CPN_Q&amp;A'!$O:$O,"Application")</f>
        <v>#REF!</v>
      </c>
      <c r="AF83" s="83" t="e">
        <f>COUNTIFS('SPC-CPN_Q&amp;A'!#REF!,W$1,'SPC-CPN_Q&amp;A'!#REF!,'Writing assignments'!$C83,'SPC-CPN_Q&amp;A'!$O:$O,"Analysis")</f>
        <v>#REF!</v>
      </c>
      <c r="AG83" s="82" t="s">
        <v>71</v>
      </c>
      <c r="AH83" s="83">
        <v>3</v>
      </c>
      <c r="AI83" s="83">
        <v>0</v>
      </c>
      <c r="AJ83" s="83">
        <v>3</v>
      </c>
      <c r="AK83" s="84">
        <v>0</v>
      </c>
      <c r="AM83" s="83" t="e">
        <f t="shared" si="16"/>
        <v>#REF!</v>
      </c>
      <c r="AN83" s="83" t="e">
        <f>COUNTIFS('SPC-CPN_Q&amp;A'!#REF!,AG$1,'SPC-CPN_Q&amp;A'!#REF!,'Writing assignments'!$C83,'SPC-CPN_Q&amp;A'!$O:$O,"Recall")</f>
        <v>#REF!</v>
      </c>
      <c r="AO83" s="83" t="e">
        <f>COUNTIFS('SPC-CPN_Q&amp;A'!#REF!,AG$1,'SPC-CPN_Q&amp;A'!#REF!,'Writing assignments'!$C83,'SPC-CPN_Q&amp;A'!$O:$O,"Application")</f>
        <v>#REF!</v>
      </c>
      <c r="AP83" s="83" t="e">
        <f>COUNTIFS('SPC-CPN_Q&amp;A'!#REF!,AG$1,'SPC-CPN_Q&amp;A'!#REF!,'Writing assignments'!$C83,'SPC-CPN_Q&amp;A'!$O:$O,"Analysis")</f>
        <v>#REF!</v>
      </c>
      <c r="AQ83" s="82" t="s">
        <v>71</v>
      </c>
      <c r="AR83" s="83">
        <v>3</v>
      </c>
      <c r="AS83" s="83">
        <v>1</v>
      </c>
      <c r="AT83" s="83">
        <v>2</v>
      </c>
      <c r="AU83" s="84">
        <v>0</v>
      </c>
      <c r="AV83" s="82"/>
      <c r="AZ83" s="84"/>
      <c r="BB83" s="83" t="e">
        <f t="shared" si="17"/>
        <v>#REF!</v>
      </c>
      <c r="BC83" s="83" t="e">
        <f>COUNTIFS('SPC-CPN_Q&amp;A'!#REF!,AV$1,'SPC-CPN_Q&amp;A'!#REF!,'Writing assignments'!$C83,'SPC-CPN_Q&amp;A'!$O:$O,"Recall")</f>
        <v>#REF!</v>
      </c>
      <c r="BD83" s="83" t="e">
        <f>COUNTIFS('SPC-CPN_Q&amp;A'!#REF!,AV$1,'SPC-CPN_Q&amp;A'!#REF!,'Writing assignments'!$C83,'SPC-CPN_Q&amp;A'!$O:$O,"Application")</f>
        <v>#REF!</v>
      </c>
      <c r="BE83" s="83" t="e">
        <f>COUNTIFS('SPC-CPN_Q&amp;A'!#REF!,AV$1,'SPC-CPN_Q&amp;A'!#REF!,'Writing assignments'!$C83,'SPC-CPN_Q&amp;A'!$O:$O,"Analysis")</f>
        <v>#REF!</v>
      </c>
      <c r="BF83" s="82"/>
      <c r="BJ83" s="84"/>
      <c r="BL83" s="83" t="e">
        <f t="shared" si="18"/>
        <v>#REF!</v>
      </c>
      <c r="BM83" s="83" t="e">
        <f>COUNTIFS('SPC-CPN_Q&amp;A'!#REF!,BF$1,'SPC-CPN_Q&amp;A'!#REF!,'Writing assignments'!$C83,'SPC-CPN_Q&amp;A'!$O:$O,"Recall")</f>
        <v>#REF!</v>
      </c>
      <c r="BN83" s="83" t="e">
        <f>COUNTIFS('SPC-CPN_Q&amp;A'!#REF!,BF$1,'SPC-CPN_Q&amp;A'!#REF!,'Writing assignments'!$C83,'SPC-CPN_Q&amp;A'!$O:$O,"Application")</f>
        <v>#REF!</v>
      </c>
      <c r="BO83" s="83" t="e">
        <f>COUNTIFS('SPC-CPN_Q&amp;A'!#REF!,BF$1,'SPC-CPN_Q&amp;A'!#REF!,'Writing assignments'!$C83,'SPC-CPN_Q&amp;A'!$O:$O,"Analysis")</f>
        <v>#REF!</v>
      </c>
      <c r="BP83" s="82"/>
      <c r="BT83" s="84"/>
      <c r="BV83" s="83" t="e">
        <f t="shared" si="19"/>
        <v>#REF!</v>
      </c>
      <c r="BW83" s="83" t="e">
        <f>COUNTIFS('SPC-CPN_Q&amp;A'!#REF!,BP$1,'SPC-CPN_Q&amp;A'!#REF!,'Writing assignments'!$C83,'SPC-CPN_Q&amp;A'!$O:$O,"Recall")</f>
        <v>#REF!</v>
      </c>
      <c r="BX83" s="83" t="e">
        <f>COUNTIFS('SPC-CPN_Q&amp;A'!#REF!,BP$1,'SPC-CPN_Q&amp;A'!#REF!,'Writing assignments'!$C83,'SPC-CPN_Q&amp;A'!$O:$O,"Application")</f>
        <v>#REF!</v>
      </c>
      <c r="BY83" s="83" t="e">
        <f>COUNTIFS('SPC-CPN_Q&amp;A'!#REF!,BP$1,'SPC-CPN_Q&amp;A'!#REF!,'Writing assignments'!$C83,'SPC-CPN_Q&amp;A'!$O:$O,"Analysis")</f>
        <v>#REF!</v>
      </c>
      <c r="CA83" s="83">
        <v>0</v>
      </c>
    </row>
    <row r="84" spans="2:79" x14ac:dyDescent="0.25">
      <c r="B84" s="74" t="s">
        <v>3658</v>
      </c>
      <c r="C84" s="74" t="s">
        <v>3660</v>
      </c>
      <c r="D84" s="6"/>
      <c r="E84" s="6">
        <v>2</v>
      </c>
      <c r="F84" s="6">
        <v>4</v>
      </c>
      <c r="G84" s="6">
        <v>0</v>
      </c>
      <c r="H84" s="79">
        <f t="shared" si="12"/>
        <v>6</v>
      </c>
      <c r="I84" s="6"/>
      <c r="J84" s="42">
        <f t="shared" si="11"/>
        <v>0</v>
      </c>
      <c r="K84" s="82" t="s">
        <v>71</v>
      </c>
      <c r="L84" s="84">
        <v>3</v>
      </c>
      <c r="M84" s="82"/>
      <c r="N84" s="83">
        <f t="shared" si="13"/>
        <v>0</v>
      </c>
      <c r="Q84" s="84"/>
      <c r="S84" s="83" t="e">
        <f t="shared" si="14"/>
        <v>#REF!</v>
      </c>
      <c r="T84" s="83" t="e">
        <f>COUNTIFS('SPC-CPN_Q&amp;A'!#REF!,M$1,'SPC-CPN_Q&amp;A'!#REF!,'Writing assignments'!$C84,'SPC-CPN_Q&amp;A'!$O:$O,"Recall")</f>
        <v>#REF!</v>
      </c>
      <c r="U84" s="83" t="e">
        <f>COUNTIFS('SPC-CPN_Q&amp;A'!#REF!,M$1,'SPC-CPN_Q&amp;A'!#REF!,'Writing assignments'!$C84,'SPC-CPN_Q&amp;A'!$O:$O,"Application")</f>
        <v>#REF!</v>
      </c>
      <c r="V84" s="84" t="e">
        <f>COUNTIFS('SPC-CPN_Q&amp;A'!#REF!,M$1,'SPC-CPN_Q&amp;A'!#REF!,'Writing assignments'!$C84,'SPC-CPN_Q&amp;A'!$O:$O,"Analysis")</f>
        <v>#REF!</v>
      </c>
      <c r="AA84" s="84"/>
      <c r="AC84" s="83" t="e">
        <f t="shared" si="15"/>
        <v>#REF!</v>
      </c>
      <c r="AD84" s="83" t="e">
        <f>COUNTIFS('SPC-CPN_Q&amp;A'!#REF!,W$1,'SPC-CPN_Q&amp;A'!#REF!,'Writing assignments'!$C84,'SPC-CPN_Q&amp;A'!$O:$O,"Recall")</f>
        <v>#REF!</v>
      </c>
      <c r="AE84" s="83" t="e">
        <f>COUNTIFS('SPC-CPN_Q&amp;A'!#REF!,W$1,'SPC-CPN_Q&amp;A'!#REF!,'Writing assignments'!$C84,'SPC-CPN_Q&amp;A'!$O:$O,"Application")</f>
        <v>#REF!</v>
      </c>
      <c r="AF84" s="83" t="e">
        <f>COUNTIFS('SPC-CPN_Q&amp;A'!#REF!,W$1,'SPC-CPN_Q&amp;A'!#REF!,'Writing assignments'!$C84,'SPC-CPN_Q&amp;A'!$O:$O,"Analysis")</f>
        <v>#REF!</v>
      </c>
      <c r="AG84" s="82"/>
      <c r="AK84" s="84"/>
      <c r="AM84" s="83" t="e">
        <f t="shared" si="16"/>
        <v>#REF!</v>
      </c>
      <c r="AN84" s="83" t="e">
        <f>COUNTIFS('SPC-CPN_Q&amp;A'!#REF!,AG$1,'SPC-CPN_Q&amp;A'!#REF!,'Writing assignments'!$C84,'SPC-CPN_Q&amp;A'!$O:$O,"Recall")</f>
        <v>#REF!</v>
      </c>
      <c r="AO84" s="83" t="e">
        <f>COUNTIFS('SPC-CPN_Q&amp;A'!#REF!,AG$1,'SPC-CPN_Q&amp;A'!#REF!,'Writing assignments'!$C84,'SPC-CPN_Q&amp;A'!$O:$O,"Application")</f>
        <v>#REF!</v>
      </c>
      <c r="AP84" s="83" t="e">
        <f>COUNTIFS('SPC-CPN_Q&amp;A'!#REF!,AG$1,'SPC-CPN_Q&amp;A'!#REF!,'Writing assignments'!$C84,'SPC-CPN_Q&amp;A'!$O:$O,"Analysis")</f>
        <v>#REF!</v>
      </c>
      <c r="AQ84" s="82" t="s">
        <v>71</v>
      </c>
      <c r="AR84" s="83">
        <v>2</v>
      </c>
      <c r="AS84" s="83">
        <v>1</v>
      </c>
      <c r="AT84" s="83">
        <v>1</v>
      </c>
      <c r="AU84" s="84">
        <v>0</v>
      </c>
      <c r="AV84" s="82"/>
      <c r="AZ84" s="84"/>
      <c r="BB84" s="83" t="e">
        <f t="shared" si="17"/>
        <v>#REF!</v>
      </c>
      <c r="BC84" s="83" t="e">
        <f>COUNTIFS('SPC-CPN_Q&amp;A'!#REF!,AV$1,'SPC-CPN_Q&amp;A'!#REF!,'Writing assignments'!$C84,'SPC-CPN_Q&amp;A'!$O:$O,"Recall")</f>
        <v>#REF!</v>
      </c>
      <c r="BD84" s="83" t="e">
        <f>COUNTIFS('SPC-CPN_Q&amp;A'!#REF!,AV$1,'SPC-CPN_Q&amp;A'!#REF!,'Writing assignments'!$C84,'SPC-CPN_Q&amp;A'!$O:$O,"Application")</f>
        <v>#REF!</v>
      </c>
      <c r="BE84" s="83" t="e">
        <f>COUNTIFS('SPC-CPN_Q&amp;A'!#REF!,AV$1,'SPC-CPN_Q&amp;A'!#REF!,'Writing assignments'!$C84,'SPC-CPN_Q&amp;A'!$O:$O,"Analysis")</f>
        <v>#REF!</v>
      </c>
      <c r="BF84" s="82" t="s">
        <v>71</v>
      </c>
      <c r="BG84" s="83">
        <v>3</v>
      </c>
      <c r="BH84" s="83">
        <v>1</v>
      </c>
      <c r="BI84" s="83">
        <v>2</v>
      </c>
      <c r="BJ84" s="84">
        <v>0</v>
      </c>
      <c r="BL84" s="83" t="e">
        <f t="shared" si="18"/>
        <v>#REF!</v>
      </c>
      <c r="BM84" s="83" t="e">
        <f>COUNTIFS('SPC-CPN_Q&amp;A'!#REF!,BF$1,'SPC-CPN_Q&amp;A'!#REF!,'Writing assignments'!$C84,'SPC-CPN_Q&amp;A'!$O:$O,"Recall")</f>
        <v>#REF!</v>
      </c>
      <c r="BN84" s="83" t="e">
        <f>COUNTIFS('SPC-CPN_Q&amp;A'!#REF!,BF$1,'SPC-CPN_Q&amp;A'!#REF!,'Writing assignments'!$C84,'SPC-CPN_Q&amp;A'!$O:$O,"Application")</f>
        <v>#REF!</v>
      </c>
      <c r="BO84" s="83" t="e">
        <f>COUNTIFS('SPC-CPN_Q&amp;A'!#REF!,BF$1,'SPC-CPN_Q&amp;A'!#REF!,'Writing assignments'!$C84,'SPC-CPN_Q&amp;A'!$O:$O,"Analysis")</f>
        <v>#REF!</v>
      </c>
      <c r="BP84" s="82"/>
      <c r="BT84" s="84"/>
      <c r="BV84" s="83" t="e">
        <f t="shared" si="19"/>
        <v>#REF!</v>
      </c>
      <c r="BW84" s="83" t="e">
        <f>COUNTIFS('SPC-CPN_Q&amp;A'!#REF!,BP$1,'SPC-CPN_Q&amp;A'!#REF!,'Writing assignments'!$C84,'SPC-CPN_Q&amp;A'!$O:$O,"Recall")</f>
        <v>#REF!</v>
      </c>
      <c r="BX84" s="83" t="e">
        <f>COUNTIFS('SPC-CPN_Q&amp;A'!#REF!,BP$1,'SPC-CPN_Q&amp;A'!#REF!,'Writing assignments'!$C84,'SPC-CPN_Q&amp;A'!$O:$O,"Application")</f>
        <v>#REF!</v>
      </c>
      <c r="BY84" s="83" t="e">
        <f>COUNTIFS('SPC-CPN_Q&amp;A'!#REF!,BP$1,'SPC-CPN_Q&amp;A'!#REF!,'Writing assignments'!$C84,'SPC-CPN_Q&amp;A'!$O:$O,"Analysis")</f>
        <v>#REF!</v>
      </c>
      <c r="CA84" s="83">
        <v>0</v>
      </c>
    </row>
    <row r="85" spans="2:79" x14ac:dyDescent="0.25">
      <c r="B85" s="74" t="s">
        <v>3658</v>
      </c>
      <c r="C85" s="74" t="s">
        <v>3661</v>
      </c>
      <c r="D85" s="6"/>
      <c r="E85" s="6">
        <v>2</v>
      </c>
      <c r="F85" s="6">
        <v>5</v>
      </c>
      <c r="G85" s="6">
        <v>0</v>
      </c>
      <c r="H85" s="79">
        <f t="shared" si="12"/>
        <v>7</v>
      </c>
      <c r="I85" s="6"/>
      <c r="J85" s="42">
        <f t="shared" si="11"/>
        <v>0</v>
      </c>
      <c r="K85" s="82" t="s">
        <v>71</v>
      </c>
      <c r="L85" s="84">
        <v>3</v>
      </c>
      <c r="M85" s="82" t="s">
        <v>71</v>
      </c>
      <c r="N85" s="83">
        <f t="shared" si="13"/>
        <v>1</v>
      </c>
      <c r="P85" s="83">
        <v>1</v>
      </c>
      <c r="S85" s="83" t="e">
        <f t="shared" si="14"/>
        <v>#REF!</v>
      </c>
      <c r="T85" s="83" t="e">
        <f>COUNTIFS('SPC-CPN_Q&amp;A'!#REF!,M$1,'SPC-CPN_Q&amp;A'!#REF!,'Writing assignments'!$C85,'SPC-CPN_Q&amp;A'!$O:$O,"Recall")</f>
        <v>#REF!</v>
      </c>
      <c r="U85" s="83" t="e">
        <f>COUNTIFS('SPC-CPN_Q&amp;A'!#REF!,M$1,'SPC-CPN_Q&amp;A'!#REF!,'Writing assignments'!$C85,'SPC-CPN_Q&amp;A'!$O:$O,"Application")</f>
        <v>#REF!</v>
      </c>
      <c r="V85" s="84" t="e">
        <f>COUNTIFS('SPC-CPN_Q&amp;A'!#REF!,M$1,'SPC-CPN_Q&amp;A'!#REF!,'Writing assignments'!$C85,'SPC-CPN_Q&amp;A'!$O:$O,"Analysis")</f>
        <v>#REF!</v>
      </c>
      <c r="W85" s="83" t="s">
        <v>71</v>
      </c>
      <c r="X85" s="83">
        <v>1</v>
      </c>
      <c r="Y85" s="83">
        <v>1</v>
      </c>
      <c r="Z85" s="83">
        <v>0</v>
      </c>
      <c r="AA85" s="84">
        <v>0</v>
      </c>
      <c r="AC85" s="83" t="e">
        <f t="shared" si="15"/>
        <v>#REF!</v>
      </c>
      <c r="AD85" s="83" t="e">
        <f>COUNTIFS('SPC-CPN_Q&amp;A'!#REF!,W$1,'SPC-CPN_Q&amp;A'!#REF!,'Writing assignments'!$C85,'SPC-CPN_Q&amp;A'!$O:$O,"Recall")</f>
        <v>#REF!</v>
      </c>
      <c r="AE85" s="83" t="e">
        <f>COUNTIFS('SPC-CPN_Q&amp;A'!#REF!,W$1,'SPC-CPN_Q&amp;A'!#REF!,'Writing assignments'!$C85,'SPC-CPN_Q&amp;A'!$O:$O,"Application")</f>
        <v>#REF!</v>
      </c>
      <c r="AF85" s="83" t="e">
        <f>COUNTIFS('SPC-CPN_Q&amp;A'!#REF!,W$1,'SPC-CPN_Q&amp;A'!#REF!,'Writing assignments'!$C85,'SPC-CPN_Q&amp;A'!$O:$O,"Analysis")</f>
        <v>#REF!</v>
      </c>
      <c r="AG85" s="82" t="s">
        <v>71</v>
      </c>
      <c r="AH85" s="83">
        <v>1</v>
      </c>
      <c r="AI85" s="83">
        <v>0</v>
      </c>
      <c r="AJ85" s="83">
        <v>1</v>
      </c>
      <c r="AK85" s="84">
        <v>0</v>
      </c>
      <c r="AM85" s="83" t="e">
        <f t="shared" si="16"/>
        <v>#REF!</v>
      </c>
      <c r="AN85" s="83" t="e">
        <f>COUNTIFS('SPC-CPN_Q&amp;A'!#REF!,AG$1,'SPC-CPN_Q&amp;A'!#REF!,'Writing assignments'!$C85,'SPC-CPN_Q&amp;A'!$O:$O,"Recall")</f>
        <v>#REF!</v>
      </c>
      <c r="AO85" s="83" t="e">
        <f>COUNTIFS('SPC-CPN_Q&amp;A'!#REF!,AG$1,'SPC-CPN_Q&amp;A'!#REF!,'Writing assignments'!$C85,'SPC-CPN_Q&amp;A'!$O:$O,"Application")</f>
        <v>#REF!</v>
      </c>
      <c r="AP85" s="83" t="e">
        <f>COUNTIFS('SPC-CPN_Q&amp;A'!#REF!,AG$1,'SPC-CPN_Q&amp;A'!#REF!,'Writing assignments'!$C85,'SPC-CPN_Q&amp;A'!$O:$O,"Analysis")</f>
        <v>#REF!</v>
      </c>
      <c r="AQ85" s="82"/>
      <c r="AR85" s="83">
        <v>0</v>
      </c>
      <c r="AU85" s="84"/>
      <c r="BB85" s="83" t="e">
        <f t="shared" si="17"/>
        <v>#REF!</v>
      </c>
      <c r="BC85" s="83" t="e">
        <f>COUNTIFS('SPC-CPN_Q&amp;A'!#REF!,AV$1,'SPC-CPN_Q&amp;A'!#REF!,'Writing assignments'!$C85,'SPC-CPN_Q&amp;A'!$O:$O,"Recall")</f>
        <v>#REF!</v>
      </c>
      <c r="BD85" s="83" t="e">
        <f>COUNTIFS('SPC-CPN_Q&amp;A'!#REF!,AV$1,'SPC-CPN_Q&amp;A'!#REF!,'Writing assignments'!$C85,'SPC-CPN_Q&amp;A'!$O:$O,"Application")</f>
        <v>#REF!</v>
      </c>
      <c r="BE85" s="83" t="e">
        <f>COUNTIFS('SPC-CPN_Q&amp;A'!#REF!,AV$1,'SPC-CPN_Q&amp;A'!#REF!,'Writing assignments'!$C85,'SPC-CPN_Q&amp;A'!$O:$O,"Analysis")</f>
        <v>#REF!</v>
      </c>
      <c r="BF85" s="82" t="s">
        <v>71</v>
      </c>
      <c r="BG85" s="83">
        <v>1</v>
      </c>
      <c r="BH85" s="83">
        <v>0</v>
      </c>
      <c r="BI85" s="83">
        <v>1</v>
      </c>
      <c r="BJ85" s="84">
        <v>0</v>
      </c>
      <c r="BL85" s="83" t="e">
        <f t="shared" si="18"/>
        <v>#REF!</v>
      </c>
      <c r="BM85" s="83" t="e">
        <f>COUNTIFS('SPC-CPN_Q&amp;A'!#REF!,BF$1,'SPC-CPN_Q&amp;A'!#REF!,'Writing assignments'!$C85,'SPC-CPN_Q&amp;A'!$O:$O,"Recall")</f>
        <v>#REF!</v>
      </c>
      <c r="BN85" s="83" t="e">
        <f>COUNTIFS('SPC-CPN_Q&amp;A'!#REF!,BF$1,'SPC-CPN_Q&amp;A'!#REF!,'Writing assignments'!$C85,'SPC-CPN_Q&amp;A'!$O:$O,"Application")</f>
        <v>#REF!</v>
      </c>
      <c r="BO85" s="83" t="e">
        <f>COUNTIFS('SPC-CPN_Q&amp;A'!#REF!,BF$1,'SPC-CPN_Q&amp;A'!#REF!,'Writing assignments'!$C85,'SPC-CPN_Q&amp;A'!$O:$O,"Analysis")</f>
        <v>#REF!</v>
      </c>
      <c r="BP85" s="82"/>
      <c r="BT85" s="84"/>
      <c r="BV85" s="83" t="e">
        <f t="shared" si="19"/>
        <v>#REF!</v>
      </c>
      <c r="BW85" s="83" t="e">
        <f>COUNTIFS('SPC-CPN_Q&amp;A'!#REF!,BP$1,'SPC-CPN_Q&amp;A'!#REF!,'Writing assignments'!$C85,'SPC-CPN_Q&amp;A'!$O:$O,"Recall")</f>
        <v>#REF!</v>
      </c>
      <c r="BX85" s="83" t="e">
        <f>COUNTIFS('SPC-CPN_Q&amp;A'!#REF!,BP$1,'SPC-CPN_Q&amp;A'!#REF!,'Writing assignments'!$C85,'SPC-CPN_Q&amp;A'!$O:$O,"Application")</f>
        <v>#REF!</v>
      </c>
      <c r="BY85" s="83" t="e">
        <f>COUNTIFS('SPC-CPN_Q&amp;A'!#REF!,BP$1,'SPC-CPN_Q&amp;A'!#REF!,'Writing assignments'!$C85,'SPC-CPN_Q&amp;A'!$O:$O,"Analysis")</f>
        <v>#REF!</v>
      </c>
      <c r="CA85" s="83">
        <v>0</v>
      </c>
    </row>
    <row r="86" spans="2:79" x14ac:dyDescent="0.25">
      <c r="B86" s="74" t="s">
        <v>3658</v>
      </c>
      <c r="C86" s="74" t="s">
        <v>3662</v>
      </c>
      <c r="D86" s="6"/>
      <c r="E86" s="6">
        <v>2</v>
      </c>
      <c r="F86" s="6">
        <v>4</v>
      </c>
      <c r="G86" s="6">
        <v>0</v>
      </c>
      <c r="H86" s="79">
        <f t="shared" si="12"/>
        <v>6</v>
      </c>
      <c r="I86" s="6"/>
      <c r="J86" s="42">
        <f t="shared" si="11"/>
        <v>0</v>
      </c>
      <c r="K86" s="82" t="s">
        <v>71</v>
      </c>
      <c r="L86" s="84">
        <v>3</v>
      </c>
      <c r="M86" s="82"/>
      <c r="N86" s="83">
        <f t="shared" si="13"/>
        <v>0</v>
      </c>
      <c r="S86" s="83" t="e">
        <f t="shared" si="14"/>
        <v>#REF!</v>
      </c>
      <c r="T86" s="83" t="e">
        <f>COUNTIFS('SPC-CPN_Q&amp;A'!#REF!,M$1,'SPC-CPN_Q&amp;A'!#REF!,'Writing assignments'!$C86,'SPC-CPN_Q&amp;A'!$O:$O,"Recall")</f>
        <v>#REF!</v>
      </c>
      <c r="U86" s="83" t="e">
        <f>COUNTIFS('SPC-CPN_Q&amp;A'!#REF!,M$1,'SPC-CPN_Q&amp;A'!#REF!,'Writing assignments'!$C86,'SPC-CPN_Q&amp;A'!$O:$O,"Application")</f>
        <v>#REF!</v>
      </c>
      <c r="V86" s="84" t="e">
        <f>COUNTIFS('SPC-CPN_Q&amp;A'!#REF!,M$1,'SPC-CPN_Q&amp;A'!#REF!,'Writing assignments'!$C86,'SPC-CPN_Q&amp;A'!$O:$O,"Analysis")</f>
        <v>#REF!</v>
      </c>
      <c r="W86" s="83" t="s">
        <v>71</v>
      </c>
      <c r="X86" s="83">
        <v>1</v>
      </c>
      <c r="Y86" s="83">
        <v>0</v>
      </c>
      <c r="Z86" s="83">
        <v>1</v>
      </c>
      <c r="AA86" s="84">
        <v>0</v>
      </c>
      <c r="AC86" s="83" t="e">
        <f t="shared" si="15"/>
        <v>#REF!</v>
      </c>
      <c r="AD86" s="83" t="e">
        <f>COUNTIFS('SPC-CPN_Q&amp;A'!#REF!,W$1,'SPC-CPN_Q&amp;A'!#REF!,'Writing assignments'!$C86,'SPC-CPN_Q&amp;A'!$O:$O,"Recall")</f>
        <v>#REF!</v>
      </c>
      <c r="AE86" s="83" t="e">
        <f>COUNTIFS('SPC-CPN_Q&amp;A'!#REF!,W$1,'SPC-CPN_Q&amp;A'!#REF!,'Writing assignments'!$C86,'SPC-CPN_Q&amp;A'!$O:$O,"Application")</f>
        <v>#REF!</v>
      </c>
      <c r="AF86" s="83" t="e">
        <f>COUNTIFS('SPC-CPN_Q&amp;A'!#REF!,W$1,'SPC-CPN_Q&amp;A'!#REF!,'Writing assignments'!$C86,'SPC-CPN_Q&amp;A'!$O:$O,"Analysis")</f>
        <v>#REF!</v>
      </c>
      <c r="AG86" s="82" t="s">
        <v>71</v>
      </c>
      <c r="AH86" s="83">
        <v>1</v>
      </c>
      <c r="AI86" s="83">
        <v>1</v>
      </c>
      <c r="AJ86" s="83">
        <v>0</v>
      </c>
      <c r="AK86" s="84">
        <v>0</v>
      </c>
      <c r="AM86" s="83" t="e">
        <f t="shared" si="16"/>
        <v>#REF!</v>
      </c>
      <c r="AN86" s="83" t="e">
        <f>COUNTIFS('SPC-CPN_Q&amp;A'!#REF!,AG$1,'SPC-CPN_Q&amp;A'!#REF!,'Writing assignments'!$C86,'SPC-CPN_Q&amp;A'!$O:$O,"Recall")</f>
        <v>#REF!</v>
      </c>
      <c r="AO86" s="83" t="e">
        <f>COUNTIFS('SPC-CPN_Q&amp;A'!#REF!,AG$1,'SPC-CPN_Q&amp;A'!#REF!,'Writing assignments'!$C86,'SPC-CPN_Q&amp;A'!$O:$O,"Application")</f>
        <v>#REF!</v>
      </c>
      <c r="AP86" s="83" t="e">
        <f>COUNTIFS('SPC-CPN_Q&amp;A'!#REF!,AG$1,'SPC-CPN_Q&amp;A'!#REF!,'Writing assignments'!$C86,'SPC-CPN_Q&amp;A'!$O:$O,"Analysis")</f>
        <v>#REF!</v>
      </c>
      <c r="AQ86" s="82"/>
      <c r="AR86" s="83">
        <v>0</v>
      </c>
      <c r="AU86" s="84"/>
      <c r="BB86" s="83" t="e">
        <f t="shared" si="17"/>
        <v>#REF!</v>
      </c>
      <c r="BC86" s="83" t="e">
        <f>COUNTIFS('SPC-CPN_Q&amp;A'!#REF!,AV$1,'SPC-CPN_Q&amp;A'!#REF!,'Writing assignments'!$C86,'SPC-CPN_Q&amp;A'!$O:$O,"Recall")</f>
        <v>#REF!</v>
      </c>
      <c r="BD86" s="83" t="e">
        <f>COUNTIFS('SPC-CPN_Q&amp;A'!#REF!,AV$1,'SPC-CPN_Q&amp;A'!#REF!,'Writing assignments'!$C86,'SPC-CPN_Q&amp;A'!$O:$O,"Application")</f>
        <v>#REF!</v>
      </c>
      <c r="BE86" s="83" t="e">
        <f>COUNTIFS('SPC-CPN_Q&amp;A'!#REF!,AV$1,'SPC-CPN_Q&amp;A'!#REF!,'Writing assignments'!$C86,'SPC-CPN_Q&amp;A'!$O:$O,"Analysis")</f>
        <v>#REF!</v>
      </c>
      <c r="BF86" s="82" t="s">
        <v>71</v>
      </c>
      <c r="BG86" s="83">
        <v>1</v>
      </c>
      <c r="BH86" s="83">
        <v>0</v>
      </c>
      <c r="BI86" s="83">
        <v>1</v>
      </c>
      <c r="BJ86" s="84">
        <v>0</v>
      </c>
      <c r="BL86" s="83" t="e">
        <f t="shared" si="18"/>
        <v>#REF!</v>
      </c>
      <c r="BM86" s="83" t="e">
        <f>COUNTIFS('SPC-CPN_Q&amp;A'!#REF!,BF$1,'SPC-CPN_Q&amp;A'!#REF!,'Writing assignments'!$C86,'SPC-CPN_Q&amp;A'!$O:$O,"Recall")</f>
        <v>#REF!</v>
      </c>
      <c r="BN86" s="83" t="e">
        <f>COUNTIFS('SPC-CPN_Q&amp;A'!#REF!,BF$1,'SPC-CPN_Q&amp;A'!#REF!,'Writing assignments'!$C86,'SPC-CPN_Q&amp;A'!$O:$O,"Application")</f>
        <v>#REF!</v>
      </c>
      <c r="BO86" s="83" t="e">
        <f>COUNTIFS('SPC-CPN_Q&amp;A'!#REF!,BF$1,'SPC-CPN_Q&amp;A'!#REF!,'Writing assignments'!$C86,'SPC-CPN_Q&amp;A'!$O:$O,"Analysis")</f>
        <v>#REF!</v>
      </c>
      <c r="BP86" s="82"/>
      <c r="BT86" s="84"/>
      <c r="BV86" s="83" t="e">
        <f t="shared" si="19"/>
        <v>#REF!</v>
      </c>
      <c r="BW86" s="83" t="e">
        <f>COUNTIFS('SPC-CPN_Q&amp;A'!#REF!,BP$1,'SPC-CPN_Q&amp;A'!#REF!,'Writing assignments'!$C86,'SPC-CPN_Q&amp;A'!$O:$O,"Recall")</f>
        <v>#REF!</v>
      </c>
      <c r="BX86" s="83" t="e">
        <f>COUNTIFS('SPC-CPN_Q&amp;A'!#REF!,BP$1,'SPC-CPN_Q&amp;A'!#REF!,'Writing assignments'!$C86,'SPC-CPN_Q&amp;A'!$O:$O,"Application")</f>
        <v>#REF!</v>
      </c>
      <c r="BY86" s="83" t="e">
        <f>COUNTIFS('SPC-CPN_Q&amp;A'!#REF!,BP$1,'SPC-CPN_Q&amp;A'!#REF!,'Writing assignments'!$C86,'SPC-CPN_Q&amp;A'!$O:$O,"Analysis")</f>
        <v>#REF!</v>
      </c>
      <c r="CA86" s="83">
        <v>0</v>
      </c>
    </row>
    <row r="87" spans="2:79" x14ac:dyDescent="0.25">
      <c r="B87" s="74" t="s">
        <v>3663</v>
      </c>
      <c r="C87" s="74" t="s">
        <v>3664</v>
      </c>
      <c r="D87" s="6"/>
      <c r="E87" s="6">
        <v>0</v>
      </c>
      <c r="F87" s="6">
        <v>2</v>
      </c>
      <c r="G87" s="6">
        <v>1</v>
      </c>
      <c r="H87" s="79">
        <f t="shared" si="12"/>
        <v>3</v>
      </c>
      <c r="I87" s="6"/>
      <c r="J87" s="42">
        <f t="shared" si="11"/>
        <v>0</v>
      </c>
      <c r="K87" s="82" t="s">
        <v>71</v>
      </c>
      <c r="L87" s="84">
        <v>1</v>
      </c>
      <c r="M87" s="82"/>
      <c r="N87" s="83">
        <f t="shared" si="13"/>
        <v>0</v>
      </c>
      <c r="S87" s="83" t="e">
        <f t="shared" si="14"/>
        <v>#REF!</v>
      </c>
      <c r="T87" s="83" t="e">
        <f>COUNTIFS('SPC-CPN_Q&amp;A'!#REF!,M$1,'SPC-CPN_Q&amp;A'!#REF!,'Writing assignments'!$C87,'SPC-CPN_Q&amp;A'!$O:$O,"Recall")</f>
        <v>#REF!</v>
      </c>
      <c r="U87" s="83" t="e">
        <f>COUNTIFS('SPC-CPN_Q&amp;A'!#REF!,M$1,'SPC-CPN_Q&amp;A'!#REF!,'Writing assignments'!$C87,'SPC-CPN_Q&amp;A'!$O:$O,"Application")</f>
        <v>#REF!</v>
      </c>
      <c r="V87" s="84" t="e">
        <f>COUNTIFS('SPC-CPN_Q&amp;A'!#REF!,M$1,'SPC-CPN_Q&amp;A'!#REF!,'Writing assignments'!$C87,'SPC-CPN_Q&amp;A'!$O:$O,"Analysis")</f>
        <v>#REF!</v>
      </c>
      <c r="AA87" s="84"/>
      <c r="AC87" s="83" t="e">
        <f t="shared" si="15"/>
        <v>#REF!</v>
      </c>
      <c r="AD87" s="83" t="e">
        <f>COUNTIFS('SPC-CPN_Q&amp;A'!#REF!,W$1,'SPC-CPN_Q&amp;A'!#REF!,'Writing assignments'!$C87,'SPC-CPN_Q&amp;A'!$O:$O,"Recall")</f>
        <v>#REF!</v>
      </c>
      <c r="AE87" s="83" t="e">
        <f>COUNTIFS('SPC-CPN_Q&amp;A'!#REF!,W$1,'SPC-CPN_Q&amp;A'!#REF!,'Writing assignments'!$C87,'SPC-CPN_Q&amp;A'!$O:$O,"Application")</f>
        <v>#REF!</v>
      </c>
      <c r="AF87" s="83" t="e">
        <f>COUNTIFS('SPC-CPN_Q&amp;A'!#REF!,W$1,'SPC-CPN_Q&amp;A'!#REF!,'Writing assignments'!$C87,'SPC-CPN_Q&amp;A'!$O:$O,"Analysis")</f>
        <v>#REF!</v>
      </c>
      <c r="AG87" s="82"/>
      <c r="AK87" s="84"/>
      <c r="AM87" s="83" t="e">
        <f t="shared" si="16"/>
        <v>#REF!</v>
      </c>
      <c r="AN87" s="83" t="e">
        <f>COUNTIFS('SPC-CPN_Q&amp;A'!#REF!,AG$1,'SPC-CPN_Q&amp;A'!#REF!,'Writing assignments'!$C87,'SPC-CPN_Q&amp;A'!$O:$O,"Recall")</f>
        <v>#REF!</v>
      </c>
      <c r="AO87" s="83" t="e">
        <f>COUNTIFS('SPC-CPN_Q&amp;A'!#REF!,AG$1,'SPC-CPN_Q&amp;A'!#REF!,'Writing assignments'!$C87,'SPC-CPN_Q&amp;A'!$O:$O,"Application")</f>
        <v>#REF!</v>
      </c>
      <c r="AP87" s="83" t="e">
        <f>COUNTIFS('SPC-CPN_Q&amp;A'!#REF!,AG$1,'SPC-CPN_Q&amp;A'!#REF!,'Writing assignments'!$C87,'SPC-CPN_Q&amp;A'!$O:$O,"Analysis")</f>
        <v>#REF!</v>
      </c>
      <c r="AQ87" s="82" t="s">
        <v>71</v>
      </c>
      <c r="AR87" s="83">
        <v>1</v>
      </c>
      <c r="AS87" s="83">
        <v>0</v>
      </c>
      <c r="AT87" s="83">
        <v>0</v>
      </c>
      <c r="AU87" s="84">
        <v>1</v>
      </c>
      <c r="BB87" s="83" t="e">
        <f t="shared" si="17"/>
        <v>#REF!</v>
      </c>
      <c r="BC87" s="83" t="e">
        <f>COUNTIFS('SPC-CPN_Q&amp;A'!#REF!,AV$1,'SPC-CPN_Q&amp;A'!#REF!,'Writing assignments'!$C87,'SPC-CPN_Q&amp;A'!$O:$O,"Recall")</f>
        <v>#REF!</v>
      </c>
      <c r="BD87" s="83" t="e">
        <f>COUNTIFS('SPC-CPN_Q&amp;A'!#REF!,AV$1,'SPC-CPN_Q&amp;A'!#REF!,'Writing assignments'!$C87,'SPC-CPN_Q&amp;A'!$O:$O,"Application")</f>
        <v>#REF!</v>
      </c>
      <c r="BE87" s="83" t="e">
        <f>COUNTIFS('SPC-CPN_Q&amp;A'!#REF!,AV$1,'SPC-CPN_Q&amp;A'!#REF!,'Writing assignments'!$C87,'SPC-CPN_Q&amp;A'!$O:$O,"Analysis")</f>
        <v>#REF!</v>
      </c>
      <c r="BF87" s="82"/>
      <c r="BJ87" s="84"/>
      <c r="BL87" s="83" t="e">
        <f t="shared" si="18"/>
        <v>#REF!</v>
      </c>
      <c r="BM87" s="83" t="e">
        <f>COUNTIFS('SPC-CPN_Q&amp;A'!#REF!,BF$1,'SPC-CPN_Q&amp;A'!#REF!,'Writing assignments'!$C87,'SPC-CPN_Q&amp;A'!$O:$O,"Recall")</f>
        <v>#REF!</v>
      </c>
      <c r="BN87" s="83" t="e">
        <f>COUNTIFS('SPC-CPN_Q&amp;A'!#REF!,BF$1,'SPC-CPN_Q&amp;A'!#REF!,'Writing assignments'!$C87,'SPC-CPN_Q&amp;A'!$O:$O,"Application")</f>
        <v>#REF!</v>
      </c>
      <c r="BO87" s="83" t="e">
        <f>COUNTIFS('SPC-CPN_Q&amp;A'!#REF!,BF$1,'SPC-CPN_Q&amp;A'!#REF!,'Writing assignments'!$C87,'SPC-CPN_Q&amp;A'!$O:$O,"Analysis")</f>
        <v>#REF!</v>
      </c>
      <c r="BP87" s="82" t="s">
        <v>71</v>
      </c>
      <c r="BQ87" s="83">
        <v>2</v>
      </c>
      <c r="BR87" s="83">
        <v>0</v>
      </c>
      <c r="BS87" s="83">
        <v>2</v>
      </c>
      <c r="BT87" s="84">
        <v>0</v>
      </c>
      <c r="BV87" s="83" t="e">
        <f t="shared" si="19"/>
        <v>#REF!</v>
      </c>
      <c r="BW87" s="83" t="e">
        <f>COUNTIFS('SPC-CPN_Q&amp;A'!#REF!,BP$1,'SPC-CPN_Q&amp;A'!#REF!,'Writing assignments'!$C87,'SPC-CPN_Q&amp;A'!$O:$O,"Recall")</f>
        <v>#REF!</v>
      </c>
      <c r="BX87" s="83" t="e">
        <f>COUNTIFS('SPC-CPN_Q&amp;A'!#REF!,BP$1,'SPC-CPN_Q&amp;A'!#REF!,'Writing assignments'!$C87,'SPC-CPN_Q&amp;A'!$O:$O,"Application")</f>
        <v>#REF!</v>
      </c>
      <c r="BY87" s="83" t="e">
        <f>COUNTIFS('SPC-CPN_Q&amp;A'!#REF!,BP$1,'SPC-CPN_Q&amp;A'!#REF!,'Writing assignments'!$C87,'SPC-CPN_Q&amp;A'!$O:$O,"Analysis")</f>
        <v>#REF!</v>
      </c>
      <c r="CA87" s="83">
        <v>0</v>
      </c>
    </row>
    <row r="88" spans="2:79" x14ac:dyDescent="0.25">
      <c r="B88" s="74" t="s">
        <v>3663</v>
      </c>
      <c r="C88" s="74" t="s">
        <v>3665</v>
      </c>
      <c r="D88" s="6"/>
      <c r="E88" s="6">
        <v>0</v>
      </c>
      <c r="F88" s="6">
        <v>2</v>
      </c>
      <c r="G88" s="6">
        <v>1</v>
      </c>
      <c r="H88" s="79">
        <f t="shared" si="12"/>
        <v>3</v>
      </c>
      <c r="I88" s="6"/>
      <c r="J88" s="42">
        <f t="shared" si="11"/>
        <v>0</v>
      </c>
      <c r="K88" s="82"/>
      <c r="L88" s="84">
        <v>0</v>
      </c>
      <c r="M88" s="82" t="s">
        <v>71</v>
      </c>
      <c r="N88" s="83">
        <f t="shared" si="13"/>
        <v>1</v>
      </c>
      <c r="P88" s="83">
        <v>1</v>
      </c>
      <c r="S88" s="83" t="e">
        <f t="shared" si="14"/>
        <v>#REF!</v>
      </c>
      <c r="T88" s="83" t="e">
        <f>COUNTIFS('SPC-CPN_Q&amp;A'!#REF!,M$1,'SPC-CPN_Q&amp;A'!#REF!,'Writing assignments'!$C88,'SPC-CPN_Q&amp;A'!$O:$O,"Recall")</f>
        <v>#REF!</v>
      </c>
      <c r="U88" s="83" t="e">
        <f>COUNTIFS('SPC-CPN_Q&amp;A'!#REF!,M$1,'SPC-CPN_Q&amp;A'!#REF!,'Writing assignments'!$C88,'SPC-CPN_Q&amp;A'!$O:$O,"Application")</f>
        <v>#REF!</v>
      </c>
      <c r="V88" s="84" t="e">
        <f>COUNTIFS('SPC-CPN_Q&amp;A'!#REF!,M$1,'SPC-CPN_Q&amp;A'!#REF!,'Writing assignments'!$C88,'SPC-CPN_Q&amp;A'!$O:$O,"Analysis")</f>
        <v>#REF!</v>
      </c>
      <c r="AA88" s="84"/>
      <c r="AC88" s="83" t="e">
        <f t="shared" si="15"/>
        <v>#REF!</v>
      </c>
      <c r="AD88" s="83" t="e">
        <f>COUNTIFS('SPC-CPN_Q&amp;A'!#REF!,W$1,'SPC-CPN_Q&amp;A'!#REF!,'Writing assignments'!$C88,'SPC-CPN_Q&amp;A'!$O:$O,"Recall")</f>
        <v>#REF!</v>
      </c>
      <c r="AE88" s="83" t="e">
        <f>COUNTIFS('SPC-CPN_Q&amp;A'!#REF!,W$1,'SPC-CPN_Q&amp;A'!#REF!,'Writing assignments'!$C88,'SPC-CPN_Q&amp;A'!$O:$O,"Application")</f>
        <v>#REF!</v>
      </c>
      <c r="AF88" s="83" t="e">
        <f>COUNTIFS('SPC-CPN_Q&amp;A'!#REF!,W$1,'SPC-CPN_Q&amp;A'!#REF!,'Writing assignments'!$C88,'SPC-CPN_Q&amp;A'!$O:$O,"Analysis")</f>
        <v>#REF!</v>
      </c>
      <c r="AG88" s="82"/>
      <c r="AK88" s="84"/>
      <c r="AM88" s="83" t="e">
        <f t="shared" si="16"/>
        <v>#REF!</v>
      </c>
      <c r="AN88" s="83" t="e">
        <f>COUNTIFS('SPC-CPN_Q&amp;A'!#REF!,AG$1,'SPC-CPN_Q&amp;A'!#REF!,'Writing assignments'!$C88,'SPC-CPN_Q&amp;A'!$O:$O,"Recall")</f>
        <v>#REF!</v>
      </c>
      <c r="AO88" s="83" t="e">
        <f>COUNTIFS('SPC-CPN_Q&amp;A'!#REF!,AG$1,'SPC-CPN_Q&amp;A'!#REF!,'Writing assignments'!$C88,'SPC-CPN_Q&amp;A'!$O:$O,"Application")</f>
        <v>#REF!</v>
      </c>
      <c r="AP88" s="83" t="e">
        <f>COUNTIFS('SPC-CPN_Q&amp;A'!#REF!,AG$1,'SPC-CPN_Q&amp;A'!#REF!,'Writing assignments'!$C88,'SPC-CPN_Q&amp;A'!$O:$O,"Analysis")</f>
        <v>#REF!</v>
      </c>
      <c r="AQ88" s="82" t="s">
        <v>71</v>
      </c>
      <c r="AR88" s="83">
        <v>1</v>
      </c>
      <c r="AS88" s="83">
        <v>0</v>
      </c>
      <c r="AT88" s="83">
        <v>1</v>
      </c>
      <c r="AU88" s="84">
        <v>0</v>
      </c>
      <c r="BB88" s="83" t="e">
        <f t="shared" si="17"/>
        <v>#REF!</v>
      </c>
      <c r="BC88" s="83" t="e">
        <f>COUNTIFS('SPC-CPN_Q&amp;A'!#REF!,AV$1,'SPC-CPN_Q&amp;A'!#REF!,'Writing assignments'!$C88,'SPC-CPN_Q&amp;A'!$O:$O,"Recall")</f>
        <v>#REF!</v>
      </c>
      <c r="BD88" s="83" t="e">
        <f>COUNTIFS('SPC-CPN_Q&amp;A'!#REF!,AV$1,'SPC-CPN_Q&amp;A'!#REF!,'Writing assignments'!$C88,'SPC-CPN_Q&amp;A'!$O:$O,"Application")</f>
        <v>#REF!</v>
      </c>
      <c r="BE88" s="83" t="e">
        <f>COUNTIFS('SPC-CPN_Q&amp;A'!#REF!,AV$1,'SPC-CPN_Q&amp;A'!#REF!,'Writing assignments'!$C88,'SPC-CPN_Q&amp;A'!$O:$O,"Analysis")</f>
        <v>#REF!</v>
      </c>
      <c r="BF88" s="82"/>
      <c r="BJ88" s="84"/>
      <c r="BL88" s="83" t="e">
        <f t="shared" si="18"/>
        <v>#REF!</v>
      </c>
      <c r="BM88" s="83" t="e">
        <f>COUNTIFS('SPC-CPN_Q&amp;A'!#REF!,BF$1,'SPC-CPN_Q&amp;A'!#REF!,'Writing assignments'!$C88,'SPC-CPN_Q&amp;A'!$O:$O,"Recall")</f>
        <v>#REF!</v>
      </c>
      <c r="BN88" s="83" t="e">
        <f>COUNTIFS('SPC-CPN_Q&amp;A'!#REF!,BF$1,'SPC-CPN_Q&amp;A'!#REF!,'Writing assignments'!$C88,'SPC-CPN_Q&amp;A'!$O:$O,"Application")</f>
        <v>#REF!</v>
      </c>
      <c r="BO88" s="83" t="e">
        <f>COUNTIFS('SPC-CPN_Q&amp;A'!#REF!,BF$1,'SPC-CPN_Q&amp;A'!#REF!,'Writing assignments'!$C88,'SPC-CPN_Q&amp;A'!$O:$O,"Analysis")</f>
        <v>#REF!</v>
      </c>
      <c r="BP88" s="82" t="s">
        <v>71</v>
      </c>
      <c r="BQ88" s="83">
        <v>2</v>
      </c>
      <c r="BR88" s="83">
        <v>0</v>
      </c>
      <c r="BS88" s="83">
        <v>1</v>
      </c>
      <c r="BT88" s="84">
        <v>1</v>
      </c>
      <c r="BV88" s="83" t="e">
        <f t="shared" si="19"/>
        <v>#REF!</v>
      </c>
      <c r="BW88" s="83" t="e">
        <f>COUNTIFS('SPC-CPN_Q&amp;A'!#REF!,BP$1,'SPC-CPN_Q&amp;A'!#REF!,'Writing assignments'!$C88,'SPC-CPN_Q&amp;A'!$O:$O,"Recall")</f>
        <v>#REF!</v>
      </c>
      <c r="BX88" s="83" t="e">
        <f>COUNTIFS('SPC-CPN_Q&amp;A'!#REF!,BP$1,'SPC-CPN_Q&amp;A'!#REF!,'Writing assignments'!$C88,'SPC-CPN_Q&amp;A'!$O:$O,"Application")</f>
        <v>#REF!</v>
      </c>
      <c r="BY88" s="83" t="e">
        <f>COUNTIFS('SPC-CPN_Q&amp;A'!#REF!,BP$1,'SPC-CPN_Q&amp;A'!#REF!,'Writing assignments'!$C88,'SPC-CPN_Q&amp;A'!$O:$O,"Analysis")</f>
        <v>#REF!</v>
      </c>
      <c r="CA88" s="83">
        <v>0</v>
      </c>
    </row>
    <row r="89" spans="2:79" x14ac:dyDescent="0.25">
      <c r="B89" s="74" t="s">
        <v>3663</v>
      </c>
      <c r="C89" s="74" t="s">
        <v>3666</v>
      </c>
      <c r="D89" s="6"/>
      <c r="E89" s="6">
        <v>0</v>
      </c>
      <c r="F89" s="6">
        <v>1</v>
      </c>
      <c r="G89" s="6">
        <v>1</v>
      </c>
      <c r="H89" s="79">
        <f t="shared" si="12"/>
        <v>2</v>
      </c>
      <c r="I89" s="6"/>
      <c r="J89" s="42">
        <f t="shared" si="11"/>
        <v>0</v>
      </c>
      <c r="K89" s="82" t="s">
        <v>71</v>
      </c>
      <c r="L89" s="84">
        <v>1</v>
      </c>
      <c r="M89" s="82"/>
      <c r="N89" s="83">
        <f t="shared" si="13"/>
        <v>0</v>
      </c>
      <c r="S89" s="83" t="e">
        <f t="shared" si="14"/>
        <v>#REF!</v>
      </c>
      <c r="T89" s="83" t="e">
        <f>COUNTIFS('SPC-CPN_Q&amp;A'!#REF!,M$1,'SPC-CPN_Q&amp;A'!#REF!,'Writing assignments'!$C89,'SPC-CPN_Q&amp;A'!$O:$O,"Recall")</f>
        <v>#REF!</v>
      </c>
      <c r="U89" s="83" t="e">
        <f>COUNTIFS('SPC-CPN_Q&amp;A'!#REF!,M$1,'SPC-CPN_Q&amp;A'!#REF!,'Writing assignments'!$C89,'SPC-CPN_Q&amp;A'!$O:$O,"Application")</f>
        <v>#REF!</v>
      </c>
      <c r="V89" s="84" t="e">
        <f>COUNTIFS('SPC-CPN_Q&amp;A'!#REF!,M$1,'SPC-CPN_Q&amp;A'!#REF!,'Writing assignments'!$C89,'SPC-CPN_Q&amp;A'!$O:$O,"Analysis")</f>
        <v>#REF!</v>
      </c>
      <c r="AA89" s="84"/>
      <c r="AC89" s="83" t="e">
        <f t="shared" si="15"/>
        <v>#REF!</v>
      </c>
      <c r="AD89" s="83" t="e">
        <f>COUNTIFS('SPC-CPN_Q&amp;A'!#REF!,W$1,'SPC-CPN_Q&amp;A'!#REF!,'Writing assignments'!$C89,'SPC-CPN_Q&amp;A'!$O:$O,"Recall")</f>
        <v>#REF!</v>
      </c>
      <c r="AE89" s="83" t="e">
        <f>COUNTIFS('SPC-CPN_Q&amp;A'!#REF!,W$1,'SPC-CPN_Q&amp;A'!#REF!,'Writing assignments'!$C89,'SPC-CPN_Q&amp;A'!$O:$O,"Application")</f>
        <v>#REF!</v>
      </c>
      <c r="AF89" s="83" t="e">
        <f>COUNTIFS('SPC-CPN_Q&amp;A'!#REF!,W$1,'SPC-CPN_Q&amp;A'!#REF!,'Writing assignments'!$C89,'SPC-CPN_Q&amp;A'!$O:$O,"Analysis")</f>
        <v>#REF!</v>
      </c>
      <c r="AG89" s="82"/>
      <c r="AK89" s="84"/>
      <c r="AM89" s="83" t="e">
        <f t="shared" si="16"/>
        <v>#REF!</v>
      </c>
      <c r="AN89" s="83" t="e">
        <f>COUNTIFS('SPC-CPN_Q&amp;A'!#REF!,AG$1,'SPC-CPN_Q&amp;A'!#REF!,'Writing assignments'!$C89,'SPC-CPN_Q&amp;A'!$O:$O,"Recall")</f>
        <v>#REF!</v>
      </c>
      <c r="AO89" s="83" t="e">
        <f>COUNTIFS('SPC-CPN_Q&amp;A'!#REF!,AG$1,'SPC-CPN_Q&amp;A'!#REF!,'Writing assignments'!$C89,'SPC-CPN_Q&amp;A'!$O:$O,"Application")</f>
        <v>#REF!</v>
      </c>
      <c r="AP89" s="83" t="e">
        <f>COUNTIFS('SPC-CPN_Q&amp;A'!#REF!,AG$1,'SPC-CPN_Q&amp;A'!#REF!,'Writing assignments'!$C89,'SPC-CPN_Q&amp;A'!$O:$O,"Analysis")</f>
        <v>#REF!</v>
      </c>
      <c r="AQ89" s="82"/>
      <c r="AR89" s="83">
        <v>0</v>
      </c>
      <c r="AU89" s="84"/>
      <c r="BB89" s="83" t="e">
        <f t="shared" si="17"/>
        <v>#REF!</v>
      </c>
      <c r="BC89" s="83" t="e">
        <f>COUNTIFS('SPC-CPN_Q&amp;A'!#REF!,AV$1,'SPC-CPN_Q&amp;A'!#REF!,'Writing assignments'!$C89,'SPC-CPN_Q&amp;A'!$O:$O,"Recall")</f>
        <v>#REF!</v>
      </c>
      <c r="BD89" s="83" t="e">
        <f>COUNTIFS('SPC-CPN_Q&amp;A'!#REF!,AV$1,'SPC-CPN_Q&amp;A'!#REF!,'Writing assignments'!$C89,'SPC-CPN_Q&amp;A'!$O:$O,"Application")</f>
        <v>#REF!</v>
      </c>
      <c r="BE89" s="83" t="e">
        <f>COUNTIFS('SPC-CPN_Q&amp;A'!#REF!,AV$1,'SPC-CPN_Q&amp;A'!#REF!,'Writing assignments'!$C89,'SPC-CPN_Q&amp;A'!$O:$O,"Analysis")</f>
        <v>#REF!</v>
      </c>
      <c r="BF89" s="82"/>
      <c r="BJ89" s="84"/>
      <c r="BL89" s="83" t="e">
        <f t="shared" si="18"/>
        <v>#REF!</v>
      </c>
      <c r="BM89" s="83" t="e">
        <f>COUNTIFS('SPC-CPN_Q&amp;A'!#REF!,BF$1,'SPC-CPN_Q&amp;A'!#REF!,'Writing assignments'!$C89,'SPC-CPN_Q&amp;A'!$O:$O,"Recall")</f>
        <v>#REF!</v>
      </c>
      <c r="BN89" s="83" t="e">
        <f>COUNTIFS('SPC-CPN_Q&amp;A'!#REF!,BF$1,'SPC-CPN_Q&amp;A'!#REF!,'Writing assignments'!$C89,'SPC-CPN_Q&amp;A'!$O:$O,"Application")</f>
        <v>#REF!</v>
      </c>
      <c r="BO89" s="83" t="e">
        <f>COUNTIFS('SPC-CPN_Q&amp;A'!#REF!,BF$1,'SPC-CPN_Q&amp;A'!#REF!,'Writing assignments'!$C89,'SPC-CPN_Q&amp;A'!$O:$O,"Analysis")</f>
        <v>#REF!</v>
      </c>
      <c r="BP89" s="82" t="s">
        <v>71</v>
      </c>
      <c r="BQ89" s="83">
        <v>1</v>
      </c>
      <c r="BR89" s="83">
        <v>0</v>
      </c>
      <c r="BS89" s="83">
        <v>0</v>
      </c>
      <c r="BT89" s="84">
        <v>1</v>
      </c>
      <c r="BV89" s="83" t="e">
        <f t="shared" si="19"/>
        <v>#REF!</v>
      </c>
      <c r="BW89" s="83" t="e">
        <f>COUNTIFS('SPC-CPN_Q&amp;A'!#REF!,BP$1,'SPC-CPN_Q&amp;A'!#REF!,'Writing assignments'!$C89,'SPC-CPN_Q&amp;A'!$O:$O,"Recall")</f>
        <v>#REF!</v>
      </c>
      <c r="BX89" s="83" t="e">
        <f>COUNTIFS('SPC-CPN_Q&amp;A'!#REF!,BP$1,'SPC-CPN_Q&amp;A'!#REF!,'Writing assignments'!$C89,'SPC-CPN_Q&amp;A'!$O:$O,"Application")</f>
        <v>#REF!</v>
      </c>
      <c r="BY89" s="83" t="e">
        <f>COUNTIFS('SPC-CPN_Q&amp;A'!#REF!,BP$1,'SPC-CPN_Q&amp;A'!#REF!,'Writing assignments'!$C89,'SPC-CPN_Q&amp;A'!$O:$O,"Analysis")</f>
        <v>#REF!</v>
      </c>
      <c r="CA89" s="83">
        <v>0</v>
      </c>
    </row>
    <row r="90" spans="2:79" x14ac:dyDescent="0.25">
      <c r="B90" s="74" t="s">
        <v>3663</v>
      </c>
      <c r="C90" s="74" t="s">
        <v>3667</v>
      </c>
      <c r="D90" s="6"/>
      <c r="E90" s="6">
        <v>0</v>
      </c>
      <c r="F90" s="6">
        <v>2</v>
      </c>
      <c r="G90" s="6">
        <v>1</v>
      </c>
      <c r="H90" s="79">
        <f t="shared" si="12"/>
        <v>3</v>
      </c>
      <c r="I90" s="6"/>
      <c r="J90" s="42">
        <f t="shared" si="11"/>
        <v>0</v>
      </c>
      <c r="K90" s="82" t="s">
        <v>71</v>
      </c>
      <c r="L90" s="84">
        <v>1</v>
      </c>
      <c r="M90" s="82"/>
      <c r="N90" s="83">
        <f t="shared" si="13"/>
        <v>0</v>
      </c>
      <c r="Q90" s="84"/>
      <c r="S90" s="83" t="e">
        <f t="shared" si="14"/>
        <v>#REF!</v>
      </c>
      <c r="T90" s="83" t="e">
        <f>COUNTIFS('SPC-CPN_Q&amp;A'!#REF!,M$1,'SPC-CPN_Q&amp;A'!#REF!,'Writing assignments'!$C90,'SPC-CPN_Q&amp;A'!$O:$O,"Recall")</f>
        <v>#REF!</v>
      </c>
      <c r="U90" s="83" t="e">
        <f>COUNTIFS('SPC-CPN_Q&amp;A'!#REF!,M$1,'SPC-CPN_Q&amp;A'!#REF!,'Writing assignments'!$C90,'SPC-CPN_Q&amp;A'!$O:$O,"Application")</f>
        <v>#REF!</v>
      </c>
      <c r="V90" s="84" t="e">
        <f>COUNTIFS('SPC-CPN_Q&amp;A'!#REF!,M$1,'SPC-CPN_Q&amp;A'!#REF!,'Writing assignments'!$C90,'SPC-CPN_Q&amp;A'!$O:$O,"Analysis")</f>
        <v>#REF!</v>
      </c>
      <c r="W90" s="83" t="s">
        <v>71</v>
      </c>
      <c r="X90" s="83">
        <v>1</v>
      </c>
      <c r="Y90" s="83">
        <v>0</v>
      </c>
      <c r="Z90" s="83">
        <v>1</v>
      </c>
      <c r="AA90" s="84">
        <v>0</v>
      </c>
      <c r="AC90" s="83" t="e">
        <f t="shared" si="15"/>
        <v>#REF!</v>
      </c>
      <c r="AD90" s="83" t="e">
        <f>COUNTIFS('SPC-CPN_Q&amp;A'!#REF!,W$1,'SPC-CPN_Q&amp;A'!#REF!,'Writing assignments'!$C90,'SPC-CPN_Q&amp;A'!$O:$O,"Recall")</f>
        <v>#REF!</v>
      </c>
      <c r="AE90" s="83" t="e">
        <f>COUNTIFS('SPC-CPN_Q&amp;A'!#REF!,W$1,'SPC-CPN_Q&amp;A'!#REF!,'Writing assignments'!$C90,'SPC-CPN_Q&amp;A'!$O:$O,"Application")</f>
        <v>#REF!</v>
      </c>
      <c r="AF90" s="83" t="e">
        <f>COUNTIFS('SPC-CPN_Q&amp;A'!#REF!,W$1,'SPC-CPN_Q&amp;A'!#REF!,'Writing assignments'!$C90,'SPC-CPN_Q&amp;A'!$O:$O,"Analysis")</f>
        <v>#REF!</v>
      </c>
      <c r="AG90" s="82"/>
      <c r="AK90" s="84"/>
      <c r="AM90" s="83" t="e">
        <f t="shared" si="16"/>
        <v>#REF!</v>
      </c>
      <c r="AN90" s="83" t="e">
        <f>COUNTIFS('SPC-CPN_Q&amp;A'!#REF!,AG$1,'SPC-CPN_Q&amp;A'!#REF!,'Writing assignments'!$C90,'SPC-CPN_Q&amp;A'!$O:$O,"Recall")</f>
        <v>#REF!</v>
      </c>
      <c r="AO90" s="83" t="e">
        <f>COUNTIFS('SPC-CPN_Q&amp;A'!#REF!,AG$1,'SPC-CPN_Q&amp;A'!#REF!,'Writing assignments'!$C90,'SPC-CPN_Q&amp;A'!$O:$O,"Application")</f>
        <v>#REF!</v>
      </c>
      <c r="AP90" s="83" t="e">
        <f>COUNTIFS('SPC-CPN_Q&amp;A'!#REF!,AG$1,'SPC-CPN_Q&amp;A'!#REF!,'Writing assignments'!$C90,'SPC-CPN_Q&amp;A'!$O:$O,"Analysis")</f>
        <v>#REF!</v>
      </c>
      <c r="AQ90" s="82"/>
      <c r="AU90" s="84"/>
      <c r="AV90" s="82" t="s">
        <v>71</v>
      </c>
      <c r="AW90" s="83">
        <v>1</v>
      </c>
      <c r="AX90" s="83">
        <v>0</v>
      </c>
      <c r="AY90" s="83">
        <v>0</v>
      </c>
      <c r="AZ90" s="84">
        <v>1</v>
      </c>
      <c r="BB90" s="83" t="e">
        <f t="shared" si="17"/>
        <v>#REF!</v>
      </c>
      <c r="BC90" s="83" t="e">
        <f>COUNTIFS('SPC-CPN_Q&amp;A'!#REF!,AV$1,'SPC-CPN_Q&amp;A'!#REF!,'Writing assignments'!$C90,'SPC-CPN_Q&amp;A'!$O:$O,"Recall")</f>
        <v>#REF!</v>
      </c>
      <c r="BD90" s="83" t="e">
        <f>COUNTIFS('SPC-CPN_Q&amp;A'!#REF!,AV$1,'SPC-CPN_Q&amp;A'!#REF!,'Writing assignments'!$C90,'SPC-CPN_Q&amp;A'!$O:$O,"Application")</f>
        <v>#REF!</v>
      </c>
      <c r="BE90" s="83" t="e">
        <f>COUNTIFS('SPC-CPN_Q&amp;A'!#REF!,AV$1,'SPC-CPN_Q&amp;A'!#REF!,'Writing assignments'!$C90,'SPC-CPN_Q&amp;A'!$O:$O,"Analysis")</f>
        <v>#REF!</v>
      </c>
      <c r="BF90" s="82"/>
      <c r="BJ90" s="84"/>
      <c r="BL90" s="83" t="e">
        <f t="shared" si="18"/>
        <v>#REF!</v>
      </c>
      <c r="BM90" s="83" t="e">
        <f>COUNTIFS('SPC-CPN_Q&amp;A'!#REF!,BF$1,'SPC-CPN_Q&amp;A'!#REF!,'Writing assignments'!$C90,'SPC-CPN_Q&amp;A'!$O:$O,"Recall")</f>
        <v>#REF!</v>
      </c>
      <c r="BN90" s="83" t="e">
        <f>COUNTIFS('SPC-CPN_Q&amp;A'!#REF!,BF$1,'SPC-CPN_Q&amp;A'!#REF!,'Writing assignments'!$C90,'SPC-CPN_Q&amp;A'!$O:$O,"Application")</f>
        <v>#REF!</v>
      </c>
      <c r="BO90" s="83" t="e">
        <f>COUNTIFS('SPC-CPN_Q&amp;A'!#REF!,BF$1,'SPC-CPN_Q&amp;A'!#REF!,'Writing assignments'!$C90,'SPC-CPN_Q&amp;A'!$O:$O,"Analysis")</f>
        <v>#REF!</v>
      </c>
      <c r="BP90" s="82"/>
      <c r="BT90" s="84"/>
      <c r="BV90" s="83" t="e">
        <f t="shared" si="19"/>
        <v>#REF!</v>
      </c>
      <c r="BW90" s="83" t="e">
        <f>COUNTIFS('SPC-CPN_Q&amp;A'!#REF!,BP$1,'SPC-CPN_Q&amp;A'!#REF!,'Writing assignments'!$C90,'SPC-CPN_Q&amp;A'!$O:$O,"Recall")</f>
        <v>#REF!</v>
      </c>
      <c r="BX90" s="83" t="e">
        <f>COUNTIFS('SPC-CPN_Q&amp;A'!#REF!,BP$1,'SPC-CPN_Q&amp;A'!#REF!,'Writing assignments'!$C90,'SPC-CPN_Q&amp;A'!$O:$O,"Application")</f>
        <v>#REF!</v>
      </c>
      <c r="BY90" s="83" t="e">
        <f>COUNTIFS('SPC-CPN_Q&amp;A'!#REF!,BP$1,'SPC-CPN_Q&amp;A'!#REF!,'Writing assignments'!$C90,'SPC-CPN_Q&amp;A'!$O:$O,"Analysis")</f>
        <v>#REF!</v>
      </c>
      <c r="CA90" s="83">
        <v>0</v>
      </c>
    </row>
    <row r="91" spans="2:79" x14ac:dyDescent="0.25">
      <c r="B91" s="74" t="s">
        <v>3663</v>
      </c>
      <c r="C91" s="74" t="s">
        <v>3668</v>
      </c>
      <c r="D91" s="6"/>
      <c r="E91" s="6">
        <v>1</v>
      </c>
      <c r="F91" s="6">
        <v>2</v>
      </c>
      <c r="G91" s="6">
        <v>0</v>
      </c>
      <c r="H91" s="79">
        <f t="shared" si="12"/>
        <v>3</v>
      </c>
      <c r="I91" s="6"/>
      <c r="J91" s="42">
        <f t="shared" si="11"/>
        <v>0</v>
      </c>
      <c r="K91" s="82"/>
      <c r="L91" s="84">
        <v>0</v>
      </c>
      <c r="M91" s="82" t="s">
        <v>71</v>
      </c>
      <c r="N91" s="83">
        <f t="shared" si="13"/>
        <v>1</v>
      </c>
      <c r="P91" s="83">
        <v>1</v>
      </c>
      <c r="Q91" s="84"/>
      <c r="S91" s="83" t="e">
        <f t="shared" si="14"/>
        <v>#REF!</v>
      </c>
      <c r="T91" s="83" t="e">
        <f>COUNTIFS('SPC-CPN_Q&amp;A'!#REF!,M$1,'SPC-CPN_Q&amp;A'!#REF!,'Writing assignments'!$C91,'SPC-CPN_Q&amp;A'!$O:$O,"Recall")</f>
        <v>#REF!</v>
      </c>
      <c r="U91" s="83" t="e">
        <f>COUNTIFS('SPC-CPN_Q&amp;A'!#REF!,M$1,'SPC-CPN_Q&amp;A'!#REF!,'Writing assignments'!$C91,'SPC-CPN_Q&amp;A'!$O:$O,"Application")</f>
        <v>#REF!</v>
      </c>
      <c r="V91" s="84" t="e">
        <f>COUNTIFS('SPC-CPN_Q&amp;A'!#REF!,M$1,'SPC-CPN_Q&amp;A'!#REF!,'Writing assignments'!$C91,'SPC-CPN_Q&amp;A'!$O:$O,"Analysis")</f>
        <v>#REF!</v>
      </c>
      <c r="W91" s="83" t="s">
        <v>71</v>
      </c>
      <c r="X91" s="83">
        <v>1</v>
      </c>
      <c r="Y91" s="83">
        <v>0</v>
      </c>
      <c r="Z91" s="83">
        <v>1</v>
      </c>
      <c r="AA91" s="84">
        <v>0</v>
      </c>
      <c r="AC91" s="83" t="e">
        <f t="shared" si="15"/>
        <v>#REF!</v>
      </c>
      <c r="AD91" s="83" t="e">
        <f>COUNTIFS('SPC-CPN_Q&amp;A'!#REF!,W$1,'SPC-CPN_Q&amp;A'!#REF!,'Writing assignments'!$C91,'SPC-CPN_Q&amp;A'!$O:$O,"Recall")</f>
        <v>#REF!</v>
      </c>
      <c r="AE91" s="83" t="e">
        <f>COUNTIFS('SPC-CPN_Q&amp;A'!#REF!,W$1,'SPC-CPN_Q&amp;A'!#REF!,'Writing assignments'!$C91,'SPC-CPN_Q&amp;A'!$O:$O,"Application")</f>
        <v>#REF!</v>
      </c>
      <c r="AF91" s="83" t="e">
        <f>COUNTIFS('SPC-CPN_Q&amp;A'!#REF!,W$1,'SPC-CPN_Q&amp;A'!#REF!,'Writing assignments'!$C91,'SPC-CPN_Q&amp;A'!$O:$O,"Analysis")</f>
        <v>#REF!</v>
      </c>
      <c r="AG91" s="82"/>
      <c r="AK91" s="84"/>
      <c r="AM91" s="83" t="e">
        <f t="shared" si="16"/>
        <v>#REF!</v>
      </c>
      <c r="AN91" s="83" t="e">
        <f>COUNTIFS('SPC-CPN_Q&amp;A'!#REF!,AG$1,'SPC-CPN_Q&amp;A'!#REF!,'Writing assignments'!$C91,'SPC-CPN_Q&amp;A'!$O:$O,"Recall")</f>
        <v>#REF!</v>
      </c>
      <c r="AO91" s="83" t="e">
        <f>COUNTIFS('SPC-CPN_Q&amp;A'!#REF!,AG$1,'SPC-CPN_Q&amp;A'!#REF!,'Writing assignments'!$C91,'SPC-CPN_Q&amp;A'!$O:$O,"Application")</f>
        <v>#REF!</v>
      </c>
      <c r="AP91" s="83" t="e">
        <f>COUNTIFS('SPC-CPN_Q&amp;A'!#REF!,AG$1,'SPC-CPN_Q&amp;A'!#REF!,'Writing assignments'!$C91,'SPC-CPN_Q&amp;A'!$O:$O,"Analysis")</f>
        <v>#REF!</v>
      </c>
      <c r="AQ91" s="82"/>
      <c r="AU91" s="84"/>
      <c r="AV91" s="82" t="s">
        <v>71</v>
      </c>
      <c r="AW91" s="83">
        <v>1</v>
      </c>
      <c r="AX91" s="83">
        <v>1</v>
      </c>
      <c r="AY91" s="83">
        <v>0</v>
      </c>
      <c r="AZ91" s="84">
        <v>0</v>
      </c>
      <c r="BB91" s="83" t="e">
        <f t="shared" si="17"/>
        <v>#REF!</v>
      </c>
      <c r="BC91" s="83" t="e">
        <f>COUNTIFS('SPC-CPN_Q&amp;A'!#REF!,AV$1,'SPC-CPN_Q&amp;A'!#REF!,'Writing assignments'!$C91,'SPC-CPN_Q&amp;A'!$O:$O,"Recall")</f>
        <v>#REF!</v>
      </c>
      <c r="BD91" s="83" t="e">
        <f>COUNTIFS('SPC-CPN_Q&amp;A'!#REF!,AV$1,'SPC-CPN_Q&amp;A'!#REF!,'Writing assignments'!$C91,'SPC-CPN_Q&amp;A'!$O:$O,"Application")</f>
        <v>#REF!</v>
      </c>
      <c r="BE91" s="83" t="e">
        <f>COUNTIFS('SPC-CPN_Q&amp;A'!#REF!,AV$1,'SPC-CPN_Q&amp;A'!#REF!,'Writing assignments'!$C91,'SPC-CPN_Q&amp;A'!$O:$O,"Analysis")</f>
        <v>#REF!</v>
      </c>
      <c r="BF91" s="82"/>
      <c r="BJ91" s="84"/>
      <c r="BL91" s="83" t="e">
        <f t="shared" si="18"/>
        <v>#REF!</v>
      </c>
      <c r="BM91" s="83" t="e">
        <f>COUNTIFS('SPC-CPN_Q&amp;A'!#REF!,BF$1,'SPC-CPN_Q&amp;A'!#REF!,'Writing assignments'!$C91,'SPC-CPN_Q&amp;A'!$O:$O,"Recall")</f>
        <v>#REF!</v>
      </c>
      <c r="BN91" s="83" t="e">
        <f>COUNTIFS('SPC-CPN_Q&amp;A'!#REF!,BF$1,'SPC-CPN_Q&amp;A'!#REF!,'Writing assignments'!$C91,'SPC-CPN_Q&amp;A'!$O:$O,"Application")</f>
        <v>#REF!</v>
      </c>
      <c r="BO91" s="83" t="e">
        <f>COUNTIFS('SPC-CPN_Q&amp;A'!#REF!,BF$1,'SPC-CPN_Q&amp;A'!#REF!,'Writing assignments'!$C91,'SPC-CPN_Q&amp;A'!$O:$O,"Analysis")</f>
        <v>#REF!</v>
      </c>
      <c r="BP91" s="82"/>
      <c r="BT91" s="84"/>
      <c r="BV91" s="83" t="e">
        <f t="shared" si="19"/>
        <v>#REF!</v>
      </c>
      <c r="BW91" s="83" t="e">
        <f>COUNTIFS('SPC-CPN_Q&amp;A'!#REF!,BP$1,'SPC-CPN_Q&amp;A'!#REF!,'Writing assignments'!$C91,'SPC-CPN_Q&amp;A'!$O:$O,"Recall")</f>
        <v>#REF!</v>
      </c>
      <c r="BX91" s="83" t="e">
        <f>COUNTIFS('SPC-CPN_Q&amp;A'!#REF!,BP$1,'SPC-CPN_Q&amp;A'!#REF!,'Writing assignments'!$C91,'SPC-CPN_Q&amp;A'!$O:$O,"Application")</f>
        <v>#REF!</v>
      </c>
      <c r="BY91" s="83" t="e">
        <f>COUNTIFS('SPC-CPN_Q&amp;A'!#REF!,BP$1,'SPC-CPN_Q&amp;A'!#REF!,'Writing assignments'!$C91,'SPC-CPN_Q&amp;A'!$O:$O,"Analysis")</f>
        <v>#REF!</v>
      </c>
      <c r="CA91" s="83">
        <v>0</v>
      </c>
    </row>
    <row r="92" spans="2:79" x14ac:dyDescent="0.25">
      <c r="B92" s="74" t="s">
        <v>3663</v>
      </c>
      <c r="C92" s="74" t="s">
        <v>3669</v>
      </c>
      <c r="D92" s="6"/>
      <c r="E92" s="6">
        <v>1</v>
      </c>
      <c r="F92" s="6">
        <v>2</v>
      </c>
      <c r="G92" s="6">
        <v>0</v>
      </c>
      <c r="H92" s="79">
        <f t="shared" si="12"/>
        <v>3</v>
      </c>
      <c r="I92" s="6"/>
      <c r="J92" s="42">
        <f t="shared" si="11"/>
        <v>0</v>
      </c>
      <c r="K92" s="82" t="s">
        <v>71</v>
      </c>
      <c r="L92" s="84">
        <v>1</v>
      </c>
      <c r="M92" s="82"/>
      <c r="N92" s="83">
        <f t="shared" si="13"/>
        <v>0</v>
      </c>
      <c r="Q92" s="84"/>
      <c r="S92" s="83" t="e">
        <f t="shared" si="14"/>
        <v>#REF!</v>
      </c>
      <c r="T92" s="83" t="e">
        <f>COUNTIFS('SPC-CPN_Q&amp;A'!#REF!,M$1,'SPC-CPN_Q&amp;A'!#REF!,'Writing assignments'!$C92,'SPC-CPN_Q&amp;A'!$O:$O,"Recall")</f>
        <v>#REF!</v>
      </c>
      <c r="U92" s="83" t="e">
        <f>COUNTIFS('SPC-CPN_Q&amp;A'!#REF!,M$1,'SPC-CPN_Q&amp;A'!#REF!,'Writing assignments'!$C92,'SPC-CPN_Q&amp;A'!$O:$O,"Application")</f>
        <v>#REF!</v>
      </c>
      <c r="V92" s="84" t="e">
        <f>COUNTIFS('SPC-CPN_Q&amp;A'!#REF!,M$1,'SPC-CPN_Q&amp;A'!#REF!,'Writing assignments'!$C92,'SPC-CPN_Q&amp;A'!$O:$O,"Analysis")</f>
        <v>#REF!</v>
      </c>
      <c r="W92" s="83" t="s">
        <v>71</v>
      </c>
      <c r="X92" s="83">
        <v>1</v>
      </c>
      <c r="Y92" s="83">
        <v>0</v>
      </c>
      <c r="Z92" s="83">
        <v>1</v>
      </c>
      <c r="AA92" s="84">
        <v>0</v>
      </c>
      <c r="AC92" s="83" t="e">
        <f t="shared" si="15"/>
        <v>#REF!</v>
      </c>
      <c r="AD92" s="83" t="e">
        <f>COUNTIFS('SPC-CPN_Q&amp;A'!#REF!,W$1,'SPC-CPN_Q&amp;A'!#REF!,'Writing assignments'!$C92,'SPC-CPN_Q&amp;A'!$O:$O,"Recall")</f>
        <v>#REF!</v>
      </c>
      <c r="AE92" s="83" t="e">
        <f>COUNTIFS('SPC-CPN_Q&amp;A'!#REF!,W$1,'SPC-CPN_Q&amp;A'!#REF!,'Writing assignments'!$C92,'SPC-CPN_Q&amp;A'!$O:$O,"Application")</f>
        <v>#REF!</v>
      </c>
      <c r="AF92" s="83" t="e">
        <f>COUNTIFS('SPC-CPN_Q&amp;A'!#REF!,W$1,'SPC-CPN_Q&amp;A'!#REF!,'Writing assignments'!$C92,'SPC-CPN_Q&amp;A'!$O:$O,"Analysis")</f>
        <v>#REF!</v>
      </c>
      <c r="AG92" s="82"/>
      <c r="AK92" s="84"/>
      <c r="AM92" s="83" t="e">
        <f t="shared" si="16"/>
        <v>#REF!</v>
      </c>
      <c r="AN92" s="83" t="e">
        <f>COUNTIFS('SPC-CPN_Q&amp;A'!#REF!,AG$1,'SPC-CPN_Q&amp;A'!#REF!,'Writing assignments'!$C92,'SPC-CPN_Q&amp;A'!$O:$O,"Recall")</f>
        <v>#REF!</v>
      </c>
      <c r="AO92" s="83" t="e">
        <f>COUNTIFS('SPC-CPN_Q&amp;A'!#REF!,AG$1,'SPC-CPN_Q&amp;A'!#REF!,'Writing assignments'!$C92,'SPC-CPN_Q&amp;A'!$O:$O,"Application")</f>
        <v>#REF!</v>
      </c>
      <c r="AP92" s="83" t="e">
        <f>COUNTIFS('SPC-CPN_Q&amp;A'!#REF!,AG$1,'SPC-CPN_Q&amp;A'!#REF!,'Writing assignments'!$C92,'SPC-CPN_Q&amp;A'!$O:$O,"Analysis")</f>
        <v>#REF!</v>
      </c>
      <c r="AQ92" s="82"/>
      <c r="AU92" s="84"/>
      <c r="AV92" s="82" t="s">
        <v>71</v>
      </c>
      <c r="AW92" s="83">
        <v>1</v>
      </c>
      <c r="AX92" s="83">
        <v>0</v>
      </c>
      <c r="AY92" s="83">
        <v>1</v>
      </c>
      <c r="AZ92" s="84">
        <v>0</v>
      </c>
      <c r="BB92" s="83" t="e">
        <f t="shared" si="17"/>
        <v>#REF!</v>
      </c>
      <c r="BC92" s="83" t="e">
        <f>COUNTIFS('SPC-CPN_Q&amp;A'!#REF!,AV$1,'SPC-CPN_Q&amp;A'!#REF!,'Writing assignments'!$C92,'SPC-CPN_Q&amp;A'!$O:$O,"Recall")</f>
        <v>#REF!</v>
      </c>
      <c r="BD92" s="83" t="e">
        <f>COUNTIFS('SPC-CPN_Q&amp;A'!#REF!,AV$1,'SPC-CPN_Q&amp;A'!#REF!,'Writing assignments'!$C92,'SPC-CPN_Q&amp;A'!$O:$O,"Application")</f>
        <v>#REF!</v>
      </c>
      <c r="BE92" s="83" t="e">
        <f>COUNTIFS('SPC-CPN_Q&amp;A'!#REF!,AV$1,'SPC-CPN_Q&amp;A'!#REF!,'Writing assignments'!$C92,'SPC-CPN_Q&amp;A'!$O:$O,"Analysis")</f>
        <v>#REF!</v>
      </c>
      <c r="BF92" s="82"/>
      <c r="BJ92" s="84"/>
      <c r="BL92" s="83" t="e">
        <f t="shared" si="18"/>
        <v>#REF!</v>
      </c>
      <c r="BM92" s="83" t="e">
        <f>COUNTIFS('SPC-CPN_Q&amp;A'!#REF!,BF$1,'SPC-CPN_Q&amp;A'!#REF!,'Writing assignments'!$C92,'SPC-CPN_Q&amp;A'!$O:$O,"Recall")</f>
        <v>#REF!</v>
      </c>
      <c r="BN92" s="83" t="e">
        <f>COUNTIFS('SPC-CPN_Q&amp;A'!#REF!,BF$1,'SPC-CPN_Q&amp;A'!#REF!,'Writing assignments'!$C92,'SPC-CPN_Q&amp;A'!$O:$O,"Application")</f>
        <v>#REF!</v>
      </c>
      <c r="BO92" s="83" t="e">
        <f>COUNTIFS('SPC-CPN_Q&amp;A'!#REF!,BF$1,'SPC-CPN_Q&amp;A'!#REF!,'Writing assignments'!$C92,'SPC-CPN_Q&amp;A'!$O:$O,"Analysis")</f>
        <v>#REF!</v>
      </c>
      <c r="BP92" s="82"/>
      <c r="BT92" s="84"/>
      <c r="BV92" s="83" t="e">
        <f t="shared" si="19"/>
        <v>#REF!</v>
      </c>
      <c r="BW92" s="83" t="e">
        <f>COUNTIFS('SPC-CPN_Q&amp;A'!#REF!,BP$1,'SPC-CPN_Q&amp;A'!#REF!,'Writing assignments'!$C92,'SPC-CPN_Q&amp;A'!$O:$O,"Recall")</f>
        <v>#REF!</v>
      </c>
      <c r="BX92" s="83" t="e">
        <f>COUNTIFS('SPC-CPN_Q&amp;A'!#REF!,BP$1,'SPC-CPN_Q&amp;A'!#REF!,'Writing assignments'!$C92,'SPC-CPN_Q&amp;A'!$O:$O,"Application")</f>
        <v>#REF!</v>
      </c>
      <c r="BY92" s="83" t="e">
        <f>COUNTIFS('SPC-CPN_Q&amp;A'!#REF!,BP$1,'SPC-CPN_Q&amp;A'!#REF!,'Writing assignments'!$C92,'SPC-CPN_Q&amp;A'!$O:$O,"Analysis")</f>
        <v>#REF!</v>
      </c>
      <c r="CA92" s="83">
        <v>0</v>
      </c>
    </row>
    <row r="93" spans="2:79" x14ac:dyDescent="0.25">
      <c r="B93" s="74" t="s">
        <v>3663</v>
      </c>
      <c r="C93" s="74" t="s">
        <v>3670</v>
      </c>
      <c r="D93" s="6"/>
      <c r="E93" s="6">
        <v>1</v>
      </c>
      <c r="F93" s="6">
        <v>2</v>
      </c>
      <c r="G93" s="6">
        <v>0</v>
      </c>
      <c r="H93" s="79">
        <f t="shared" si="12"/>
        <v>3</v>
      </c>
      <c r="I93" s="6"/>
      <c r="J93" s="42">
        <f t="shared" si="11"/>
        <v>0</v>
      </c>
      <c r="K93" s="82" t="s">
        <v>71</v>
      </c>
      <c r="L93" s="84">
        <v>1</v>
      </c>
      <c r="M93" s="82"/>
      <c r="N93" s="83">
        <f t="shared" si="13"/>
        <v>0</v>
      </c>
      <c r="S93" s="83" t="e">
        <f t="shared" si="14"/>
        <v>#REF!</v>
      </c>
      <c r="T93" s="83" t="e">
        <f>COUNTIFS('SPC-CPN_Q&amp;A'!#REF!,M$1,'SPC-CPN_Q&amp;A'!#REF!,'Writing assignments'!$C93,'SPC-CPN_Q&amp;A'!$O:$O,"Recall")</f>
        <v>#REF!</v>
      </c>
      <c r="U93" s="83" t="e">
        <f>COUNTIFS('SPC-CPN_Q&amp;A'!#REF!,M$1,'SPC-CPN_Q&amp;A'!#REF!,'Writing assignments'!$C93,'SPC-CPN_Q&amp;A'!$O:$O,"Application")</f>
        <v>#REF!</v>
      </c>
      <c r="V93" s="84" t="e">
        <f>COUNTIFS('SPC-CPN_Q&amp;A'!#REF!,M$1,'SPC-CPN_Q&amp;A'!#REF!,'Writing assignments'!$C93,'SPC-CPN_Q&amp;A'!$O:$O,"Analysis")</f>
        <v>#REF!</v>
      </c>
      <c r="W93" s="83" t="s">
        <v>71</v>
      </c>
      <c r="X93" s="83">
        <v>1</v>
      </c>
      <c r="Y93" s="83">
        <v>1</v>
      </c>
      <c r="Z93" s="83">
        <v>0</v>
      </c>
      <c r="AA93" s="84">
        <v>0</v>
      </c>
      <c r="AC93" s="83" t="e">
        <f t="shared" si="15"/>
        <v>#REF!</v>
      </c>
      <c r="AD93" s="83" t="e">
        <f>COUNTIFS('SPC-CPN_Q&amp;A'!#REF!,W$1,'SPC-CPN_Q&amp;A'!#REF!,'Writing assignments'!$C93,'SPC-CPN_Q&amp;A'!$O:$O,"Recall")</f>
        <v>#REF!</v>
      </c>
      <c r="AE93" s="83" t="e">
        <f>COUNTIFS('SPC-CPN_Q&amp;A'!#REF!,W$1,'SPC-CPN_Q&amp;A'!#REF!,'Writing assignments'!$C93,'SPC-CPN_Q&amp;A'!$O:$O,"Application")</f>
        <v>#REF!</v>
      </c>
      <c r="AF93" s="83" t="e">
        <f>COUNTIFS('SPC-CPN_Q&amp;A'!#REF!,W$1,'SPC-CPN_Q&amp;A'!#REF!,'Writing assignments'!$C93,'SPC-CPN_Q&amp;A'!$O:$O,"Analysis")</f>
        <v>#REF!</v>
      </c>
      <c r="AG93" s="82" t="s">
        <v>71</v>
      </c>
      <c r="AH93" s="83">
        <v>1</v>
      </c>
      <c r="AI93" s="83">
        <v>0</v>
      </c>
      <c r="AJ93" s="83">
        <v>1</v>
      </c>
      <c r="AK93" s="84">
        <v>0</v>
      </c>
      <c r="AM93" s="83" t="e">
        <f t="shared" si="16"/>
        <v>#REF!</v>
      </c>
      <c r="AN93" s="83" t="e">
        <f>COUNTIFS('SPC-CPN_Q&amp;A'!#REF!,AG$1,'SPC-CPN_Q&amp;A'!#REF!,'Writing assignments'!$C93,'SPC-CPN_Q&amp;A'!$O:$O,"Recall")</f>
        <v>#REF!</v>
      </c>
      <c r="AO93" s="83" t="e">
        <f>COUNTIFS('SPC-CPN_Q&amp;A'!#REF!,AG$1,'SPC-CPN_Q&amp;A'!#REF!,'Writing assignments'!$C93,'SPC-CPN_Q&amp;A'!$O:$O,"Application")</f>
        <v>#REF!</v>
      </c>
      <c r="AP93" s="83" t="e">
        <f>COUNTIFS('SPC-CPN_Q&amp;A'!#REF!,AG$1,'SPC-CPN_Q&amp;A'!#REF!,'Writing assignments'!$C93,'SPC-CPN_Q&amp;A'!$O:$O,"Analysis")</f>
        <v>#REF!</v>
      </c>
      <c r="AQ93" s="82"/>
      <c r="AR93" s="83">
        <v>0</v>
      </c>
      <c r="AU93" s="84"/>
      <c r="BB93" s="83" t="e">
        <f t="shared" si="17"/>
        <v>#REF!</v>
      </c>
      <c r="BC93" s="83" t="e">
        <f>COUNTIFS('SPC-CPN_Q&amp;A'!#REF!,AV$1,'SPC-CPN_Q&amp;A'!#REF!,'Writing assignments'!$C93,'SPC-CPN_Q&amp;A'!$O:$O,"Recall")</f>
        <v>#REF!</v>
      </c>
      <c r="BD93" s="83" t="e">
        <f>COUNTIFS('SPC-CPN_Q&amp;A'!#REF!,AV$1,'SPC-CPN_Q&amp;A'!#REF!,'Writing assignments'!$C93,'SPC-CPN_Q&amp;A'!$O:$O,"Application")</f>
        <v>#REF!</v>
      </c>
      <c r="BE93" s="83" t="e">
        <f>COUNTIFS('SPC-CPN_Q&amp;A'!#REF!,AV$1,'SPC-CPN_Q&amp;A'!#REF!,'Writing assignments'!$C93,'SPC-CPN_Q&amp;A'!$O:$O,"Analysis")</f>
        <v>#REF!</v>
      </c>
      <c r="BF93" s="82"/>
      <c r="BJ93" s="84"/>
      <c r="BL93" s="83" t="e">
        <f t="shared" si="18"/>
        <v>#REF!</v>
      </c>
      <c r="BM93" s="83" t="e">
        <f>COUNTIFS('SPC-CPN_Q&amp;A'!#REF!,BF$1,'SPC-CPN_Q&amp;A'!#REF!,'Writing assignments'!$C93,'SPC-CPN_Q&amp;A'!$O:$O,"Recall")</f>
        <v>#REF!</v>
      </c>
      <c r="BN93" s="83" t="e">
        <f>COUNTIFS('SPC-CPN_Q&amp;A'!#REF!,BF$1,'SPC-CPN_Q&amp;A'!#REF!,'Writing assignments'!$C93,'SPC-CPN_Q&amp;A'!$O:$O,"Application")</f>
        <v>#REF!</v>
      </c>
      <c r="BO93" s="83" t="e">
        <f>COUNTIFS('SPC-CPN_Q&amp;A'!#REF!,BF$1,'SPC-CPN_Q&amp;A'!#REF!,'Writing assignments'!$C93,'SPC-CPN_Q&amp;A'!$O:$O,"Analysis")</f>
        <v>#REF!</v>
      </c>
      <c r="BP93" s="82"/>
      <c r="BT93" s="84"/>
      <c r="BV93" s="83" t="e">
        <f t="shared" si="19"/>
        <v>#REF!</v>
      </c>
      <c r="BW93" s="83" t="e">
        <f>COUNTIFS('SPC-CPN_Q&amp;A'!#REF!,BP$1,'SPC-CPN_Q&amp;A'!#REF!,'Writing assignments'!$C93,'SPC-CPN_Q&amp;A'!$O:$O,"Recall")</f>
        <v>#REF!</v>
      </c>
      <c r="BX93" s="83" t="e">
        <f>COUNTIFS('SPC-CPN_Q&amp;A'!#REF!,BP$1,'SPC-CPN_Q&amp;A'!#REF!,'Writing assignments'!$C93,'SPC-CPN_Q&amp;A'!$O:$O,"Application")</f>
        <v>#REF!</v>
      </c>
      <c r="BY93" s="83" t="e">
        <f>COUNTIFS('SPC-CPN_Q&amp;A'!#REF!,BP$1,'SPC-CPN_Q&amp;A'!#REF!,'Writing assignments'!$C93,'SPC-CPN_Q&amp;A'!$O:$O,"Analysis")</f>
        <v>#REF!</v>
      </c>
      <c r="CA93" s="83">
        <v>0</v>
      </c>
    </row>
    <row r="94" spans="2:79" x14ac:dyDescent="0.25">
      <c r="B94" s="74" t="s">
        <v>3663</v>
      </c>
      <c r="C94" s="74" t="s">
        <v>3671</v>
      </c>
      <c r="D94" s="6"/>
      <c r="E94" s="6">
        <v>1</v>
      </c>
      <c r="F94" s="6">
        <v>2</v>
      </c>
      <c r="G94" s="6">
        <v>0</v>
      </c>
      <c r="H94" s="79">
        <f t="shared" si="12"/>
        <v>3</v>
      </c>
      <c r="I94" s="6"/>
      <c r="J94" s="42">
        <f t="shared" si="11"/>
        <v>0</v>
      </c>
      <c r="K94" s="82" t="s">
        <v>71</v>
      </c>
      <c r="L94" s="84">
        <v>1</v>
      </c>
      <c r="M94" s="82" t="s">
        <v>71</v>
      </c>
      <c r="N94" s="83">
        <f t="shared" si="13"/>
        <v>2</v>
      </c>
      <c r="P94" s="83">
        <v>2</v>
      </c>
      <c r="S94" s="83" t="e">
        <f t="shared" si="14"/>
        <v>#REF!</v>
      </c>
      <c r="T94" s="83" t="e">
        <f>COUNTIFS('SPC-CPN_Q&amp;A'!#REF!,M$1,'SPC-CPN_Q&amp;A'!#REF!,'Writing assignments'!$C94,'SPC-CPN_Q&amp;A'!$O:$O,"Recall")</f>
        <v>#REF!</v>
      </c>
      <c r="U94" s="83" t="e">
        <f>COUNTIFS('SPC-CPN_Q&amp;A'!#REF!,M$1,'SPC-CPN_Q&amp;A'!#REF!,'Writing assignments'!$C94,'SPC-CPN_Q&amp;A'!$O:$O,"Application")</f>
        <v>#REF!</v>
      </c>
      <c r="V94" s="84" t="e">
        <f>COUNTIFS('SPC-CPN_Q&amp;A'!#REF!,M$1,'SPC-CPN_Q&amp;A'!#REF!,'Writing assignments'!$C94,'SPC-CPN_Q&amp;A'!$O:$O,"Analysis")</f>
        <v>#REF!</v>
      </c>
      <c r="AA94" s="84"/>
      <c r="AC94" s="83" t="e">
        <f t="shared" si="15"/>
        <v>#REF!</v>
      </c>
      <c r="AD94" s="83" t="e">
        <f>COUNTIFS('SPC-CPN_Q&amp;A'!#REF!,W$1,'SPC-CPN_Q&amp;A'!#REF!,'Writing assignments'!$C94,'SPC-CPN_Q&amp;A'!$O:$O,"Recall")</f>
        <v>#REF!</v>
      </c>
      <c r="AE94" s="83" t="e">
        <f>COUNTIFS('SPC-CPN_Q&amp;A'!#REF!,W$1,'SPC-CPN_Q&amp;A'!#REF!,'Writing assignments'!$C94,'SPC-CPN_Q&amp;A'!$O:$O,"Application")</f>
        <v>#REF!</v>
      </c>
      <c r="AF94" s="83" t="e">
        <f>COUNTIFS('SPC-CPN_Q&amp;A'!#REF!,W$1,'SPC-CPN_Q&amp;A'!#REF!,'Writing assignments'!$C94,'SPC-CPN_Q&amp;A'!$O:$O,"Analysis")</f>
        <v>#REF!</v>
      </c>
      <c r="AG94" s="82"/>
      <c r="AK94" s="84"/>
      <c r="AM94" s="83" t="e">
        <f t="shared" si="16"/>
        <v>#REF!</v>
      </c>
      <c r="AN94" s="83" t="e">
        <f>COUNTIFS('SPC-CPN_Q&amp;A'!#REF!,AG$1,'SPC-CPN_Q&amp;A'!#REF!,'Writing assignments'!$C94,'SPC-CPN_Q&amp;A'!$O:$O,"Recall")</f>
        <v>#REF!</v>
      </c>
      <c r="AO94" s="83" t="e">
        <f>COUNTIFS('SPC-CPN_Q&amp;A'!#REF!,AG$1,'SPC-CPN_Q&amp;A'!#REF!,'Writing assignments'!$C94,'SPC-CPN_Q&amp;A'!$O:$O,"Application")</f>
        <v>#REF!</v>
      </c>
      <c r="AP94" s="83" t="e">
        <f>COUNTIFS('SPC-CPN_Q&amp;A'!#REF!,AG$1,'SPC-CPN_Q&amp;A'!#REF!,'Writing assignments'!$C94,'SPC-CPN_Q&amp;A'!$O:$O,"Analysis")</f>
        <v>#REF!</v>
      </c>
      <c r="AQ94" s="82" t="s">
        <v>71</v>
      </c>
      <c r="AR94" s="83">
        <v>1</v>
      </c>
      <c r="AS94" s="83">
        <v>0</v>
      </c>
      <c r="AT94" s="83">
        <v>1</v>
      </c>
      <c r="AU94" s="84">
        <v>0</v>
      </c>
      <c r="BB94" s="83" t="e">
        <f t="shared" si="17"/>
        <v>#REF!</v>
      </c>
      <c r="BC94" s="83" t="e">
        <f>COUNTIFS('SPC-CPN_Q&amp;A'!#REF!,AV$1,'SPC-CPN_Q&amp;A'!#REF!,'Writing assignments'!$C94,'SPC-CPN_Q&amp;A'!$O:$O,"Recall")</f>
        <v>#REF!</v>
      </c>
      <c r="BD94" s="83" t="e">
        <f>COUNTIFS('SPC-CPN_Q&amp;A'!#REF!,AV$1,'SPC-CPN_Q&amp;A'!#REF!,'Writing assignments'!$C94,'SPC-CPN_Q&amp;A'!$O:$O,"Application")</f>
        <v>#REF!</v>
      </c>
      <c r="BE94" s="83" t="e">
        <f>COUNTIFS('SPC-CPN_Q&amp;A'!#REF!,AV$1,'SPC-CPN_Q&amp;A'!#REF!,'Writing assignments'!$C94,'SPC-CPN_Q&amp;A'!$O:$O,"Analysis")</f>
        <v>#REF!</v>
      </c>
      <c r="BF94" s="82"/>
      <c r="BJ94" s="84"/>
      <c r="BL94" s="83" t="e">
        <f t="shared" si="18"/>
        <v>#REF!</v>
      </c>
      <c r="BM94" s="83" t="e">
        <f>COUNTIFS('SPC-CPN_Q&amp;A'!#REF!,BF$1,'SPC-CPN_Q&amp;A'!#REF!,'Writing assignments'!$C94,'SPC-CPN_Q&amp;A'!$O:$O,"Recall")</f>
        <v>#REF!</v>
      </c>
      <c r="BN94" s="83" t="e">
        <f>COUNTIFS('SPC-CPN_Q&amp;A'!#REF!,BF$1,'SPC-CPN_Q&amp;A'!#REF!,'Writing assignments'!$C94,'SPC-CPN_Q&amp;A'!$O:$O,"Application")</f>
        <v>#REF!</v>
      </c>
      <c r="BO94" s="83" t="e">
        <f>COUNTIFS('SPC-CPN_Q&amp;A'!#REF!,BF$1,'SPC-CPN_Q&amp;A'!#REF!,'Writing assignments'!$C94,'SPC-CPN_Q&amp;A'!$O:$O,"Analysis")</f>
        <v>#REF!</v>
      </c>
      <c r="BP94" s="82"/>
      <c r="BT94" s="84"/>
      <c r="BV94" s="83" t="e">
        <f t="shared" si="19"/>
        <v>#REF!</v>
      </c>
      <c r="BW94" s="83" t="e">
        <f>COUNTIFS('SPC-CPN_Q&amp;A'!#REF!,BP$1,'SPC-CPN_Q&amp;A'!#REF!,'Writing assignments'!$C94,'SPC-CPN_Q&amp;A'!$O:$O,"Recall")</f>
        <v>#REF!</v>
      </c>
      <c r="BX94" s="83" t="e">
        <f>COUNTIFS('SPC-CPN_Q&amp;A'!#REF!,BP$1,'SPC-CPN_Q&amp;A'!#REF!,'Writing assignments'!$C94,'SPC-CPN_Q&amp;A'!$O:$O,"Application")</f>
        <v>#REF!</v>
      </c>
      <c r="BY94" s="83" t="e">
        <f>COUNTIFS('SPC-CPN_Q&amp;A'!#REF!,BP$1,'SPC-CPN_Q&amp;A'!#REF!,'Writing assignments'!$C94,'SPC-CPN_Q&amp;A'!$O:$O,"Analysis")</f>
        <v>#REF!</v>
      </c>
      <c r="CA94" s="83">
        <v>0</v>
      </c>
    </row>
    <row r="95" spans="2:79" x14ac:dyDescent="0.25">
      <c r="B95" s="74" t="s">
        <v>3663</v>
      </c>
      <c r="C95" s="74" t="s">
        <v>3672</v>
      </c>
      <c r="D95" s="6"/>
      <c r="E95" s="6">
        <v>0</v>
      </c>
      <c r="F95" s="6">
        <v>2</v>
      </c>
      <c r="G95" s="6">
        <v>1</v>
      </c>
      <c r="H95" s="79">
        <f t="shared" si="12"/>
        <v>3</v>
      </c>
      <c r="I95" s="6"/>
      <c r="J95" s="42">
        <f t="shared" si="11"/>
        <v>0</v>
      </c>
      <c r="K95" s="82" t="s">
        <v>71</v>
      </c>
      <c r="L95" s="84">
        <v>1</v>
      </c>
      <c r="M95" s="82" t="s">
        <v>71</v>
      </c>
      <c r="N95" s="83">
        <f t="shared" si="13"/>
        <v>2</v>
      </c>
      <c r="P95" s="83">
        <v>2</v>
      </c>
      <c r="S95" s="83" t="e">
        <f t="shared" si="14"/>
        <v>#REF!</v>
      </c>
      <c r="T95" s="83" t="e">
        <f>COUNTIFS('SPC-CPN_Q&amp;A'!#REF!,M$1,'SPC-CPN_Q&amp;A'!#REF!,'Writing assignments'!$C95,'SPC-CPN_Q&amp;A'!$O:$O,"Recall")</f>
        <v>#REF!</v>
      </c>
      <c r="U95" s="83" t="e">
        <f>COUNTIFS('SPC-CPN_Q&amp;A'!#REF!,M$1,'SPC-CPN_Q&amp;A'!#REF!,'Writing assignments'!$C95,'SPC-CPN_Q&amp;A'!$O:$O,"Application")</f>
        <v>#REF!</v>
      </c>
      <c r="V95" s="84" t="e">
        <f>COUNTIFS('SPC-CPN_Q&amp;A'!#REF!,M$1,'SPC-CPN_Q&amp;A'!#REF!,'Writing assignments'!$C95,'SPC-CPN_Q&amp;A'!$O:$O,"Analysis")</f>
        <v>#REF!</v>
      </c>
      <c r="AA95" s="84"/>
      <c r="AC95" s="83" t="e">
        <f t="shared" si="15"/>
        <v>#REF!</v>
      </c>
      <c r="AD95" s="83" t="e">
        <f>COUNTIFS('SPC-CPN_Q&amp;A'!#REF!,W$1,'SPC-CPN_Q&amp;A'!#REF!,'Writing assignments'!$C95,'SPC-CPN_Q&amp;A'!$O:$O,"Recall")</f>
        <v>#REF!</v>
      </c>
      <c r="AE95" s="83" t="e">
        <f>COUNTIFS('SPC-CPN_Q&amp;A'!#REF!,W$1,'SPC-CPN_Q&amp;A'!#REF!,'Writing assignments'!$C95,'SPC-CPN_Q&amp;A'!$O:$O,"Application")</f>
        <v>#REF!</v>
      </c>
      <c r="AF95" s="83" t="e">
        <f>COUNTIFS('SPC-CPN_Q&amp;A'!#REF!,W$1,'SPC-CPN_Q&amp;A'!#REF!,'Writing assignments'!$C95,'SPC-CPN_Q&amp;A'!$O:$O,"Analysis")</f>
        <v>#REF!</v>
      </c>
      <c r="AG95" s="82"/>
      <c r="AK95" s="84"/>
      <c r="AM95" s="83" t="e">
        <f t="shared" si="16"/>
        <v>#REF!</v>
      </c>
      <c r="AN95" s="83" t="e">
        <f>COUNTIFS('SPC-CPN_Q&amp;A'!#REF!,AG$1,'SPC-CPN_Q&amp;A'!#REF!,'Writing assignments'!$C95,'SPC-CPN_Q&amp;A'!$O:$O,"Recall")</f>
        <v>#REF!</v>
      </c>
      <c r="AO95" s="83" t="e">
        <f>COUNTIFS('SPC-CPN_Q&amp;A'!#REF!,AG$1,'SPC-CPN_Q&amp;A'!#REF!,'Writing assignments'!$C95,'SPC-CPN_Q&amp;A'!$O:$O,"Application")</f>
        <v>#REF!</v>
      </c>
      <c r="AP95" s="83" t="e">
        <f>COUNTIFS('SPC-CPN_Q&amp;A'!#REF!,AG$1,'SPC-CPN_Q&amp;A'!#REF!,'Writing assignments'!$C95,'SPC-CPN_Q&amp;A'!$O:$O,"Analysis")</f>
        <v>#REF!</v>
      </c>
      <c r="AQ95" s="82"/>
      <c r="AR95" s="83">
        <v>0</v>
      </c>
      <c r="AU95" s="84"/>
      <c r="BB95" s="83" t="e">
        <f t="shared" si="17"/>
        <v>#REF!</v>
      </c>
      <c r="BC95" s="83" t="e">
        <f>COUNTIFS('SPC-CPN_Q&amp;A'!#REF!,AV$1,'SPC-CPN_Q&amp;A'!#REF!,'Writing assignments'!$C95,'SPC-CPN_Q&amp;A'!$O:$O,"Recall")</f>
        <v>#REF!</v>
      </c>
      <c r="BD95" s="83" t="e">
        <f>COUNTIFS('SPC-CPN_Q&amp;A'!#REF!,AV$1,'SPC-CPN_Q&amp;A'!#REF!,'Writing assignments'!$C95,'SPC-CPN_Q&amp;A'!$O:$O,"Application")</f>
        <v>#REF!</v>
      </c>
      <c r="BE95" s="83" t="e">
        <f>COUNTIFS('SPC-CPN_Q&amp;A'!#REF!,AV$1,'SPC-CPN_Q&amp;A'!#REF!,'Writing assignments'!$C95,'SPC-CPN_Q&amp;A'!$O:$O,"Analysis")</f>
        <v>#REF!</v>
      </c>
      <c r="BF95" s="82"/>
      <c r="BJ95" s="84"/>
      <c r="BL95" s="83" t="e">
        <f t="shared" si="18"/>
        <v>#REF!</v>
      </c>
      <c r="BM95" s="83" t="e">
        <f>COUNTIFS('SPC-CPN_Q&amp;A'!#REF!,BF$1,'SPC-CPN_Q&amp;A'!#REF!,'Writing assignments'!$C95,'SPC-CPN_Q&amp;A'!$O:$O,"Recall")</f>
        <v>#REF!</v>
      </c>
      <c r="BN95" s="83" t="e">
        <f>COUNTIFS('SPC-CPN_Q&amp;A'!#REF!,BF$1,'SPC-CPN_Q&amp;A'!#REF!,'Writing assignments'!$C95,'SPC-CPN_Q&amp;A'!$O:$O,"Application")</f>
        <v>#REF!</v>
      </c>
      <c r="BO95" s="83" t="e">
        <f>COUNTIFS('SPC-CPN_Q&amp;A'!#REF!,BF$1,'SPC-CPN_Q&amp;A'!#REF!,'Writing assignments'!$C95,'SPC-CPN_Q&amp;A'!$O:$O,"Analysis")</f>
        <v>#REF!</v>
      </c>
      <c r="BP95" s="82"/>
      <c r="BT95" s="84"/>
      <c r="BV95" s="83" t="e">
        <f t="shared" si="19"/>
        <v>#REF!</v>
      </c>
      <c r="BW95" s="83" t="e">
        <f>COUNTIFS('SPC-CPN_Q&amp;A'!#REF!,BP$1,'SPC-CPN_Q&amp;A'!#REF!,'Writing assignments'!$C95,'SPC-CPN_Q&amp;A'!$O:$O,"Recall")</f>
        <v>#REF!</v>
      </c>
      <c r="BX95" s="83" t="e">
        <f>COUNTIFS('SPC-CPN_Q&amp;A'!#REF!,BP$1,'SPC-CPN_Q&amp;A'!#REF!,'Writing assignments'!$C95,'SPC-CPN_Q&amp;A'!$O:$O,"Application")</f>
        <v>#REF!</v>
      </c>
      <c r="BY95" s="83" t="e">
        <f>COUNTIFS('SPC-CPN_Q&amp;A'!#REF!,BP$1,'SPC-CPN_Q&amp;A'!#REF!,'Writing assignments'!$C95,'SPC-CPN_Q&amp;A'!$O:$O,"Analysis")</f>
        <v>#REF!</v>
      </c>
      <c r="CA95" s="83">
        <v>0</v>
      </c>
    </row>
    <row r="96" spans="2:79" x14ac:dyDescent="0.25">
      <c r="B96" s="74" t="s">
        <v>3663</v>
      </c>
      <c r="C96" s="74" t="s">
        <v>3673</v>
      </c>
      <c r="D96" s="6"/>
      <c r="E96" s="6">
        <v>0</v>
      </c>
      <c r="F96" s="6">
        <v>2</v>
      </c>
      <c r="G96" s="6">
        <v>1</v>
      </c>
      <c r="H96" s="79">
        <f t="shared" si="12"/>
        <v>3</v>
      </c>
      <c r="I96" s="6"/>
      <c r="J96" s="42">
        <f t="shared" si="11"/>
        <v>-1</v>
      </c>
      <c r="K96" s="82" t="s">
        <v>71</v>
      </c>
      <c r="L96" s="84">
        <v>2</v>
      </c>
      <c r="M96" s="82" t="s">
        <v>71</v>
      </c>
      <c r="N96" s="83">
        <f t="shared" si="13"/>
        <v>2</v>
      </c>
      <c r="P96" s="83">
        <v>2</v>
      </c>
      <c r="S96" s="83" t="e">
        <f t="shared" si="14"/>
        <v>#REF!</v>
      </c>
      <c r="T96" s="83" t="e">
        <f>COUNTIFS('SPC-CPN_Q&amp;A'!#REF!,M$1,'SPC-CPN_Q&amp;A'!#REF!,'Writing assignments'!$C96,'SPC-CPN_Q&amp;A'!$O:$O,"Recall")</f>
        <v>#REF!</v>
      </c>
      <c r="U96" s="83" t="e">
        <f>COUNTIFS('SPC-CPN_Q&amp;A'!#REF!,M$1,'SPC-CPN_Q&amp;A'!#REF!,'Writing assignments'!$C96,'SPC-CPN_Q&amp;A'!$O:$O,"Application")</f>
        <v>#REF!</v>
      </c>
      <c r="V96" s="84" t="e">
        <f>COUNTIFS('SPC-CPN_Q&amp;A'!#REF!,M$1,'SPC-CPN_Q&amp;A'!#REF!,'Writing assignments'!$C96,'SPC-CPN_Q&amp;A'!$O:$O,"Analysis")</f>
        <v>#REF!</v>
      </c>
      <c r="AA96" s="84"/>
      <c r="AC96" s="83" t="e">
        <f t="shared" si="15"/>
        <v>#REF!</v>
      </c>
      <c r="AD96" s="83" t="e">
        <f>COUNTIFS('SPC-CPN_Q&amp;A'!#REF!,W$1,'SPC-CPN_Q&amp;A'!#REF!,'Writing assignments'!$C96,'SPC-CPN_Q&amp;A'!$O:$O,"Recall")</f>
        <v>#REF!</v>
      </c>
      <c r="AE96" s="83" t="e">
        <f>COUNTIFS('SPC-CPN_Q&amp;A'!#REF!,W$1,'SPC-CPN_Q&amp;A'!#REF!,'Writing assignments'!$C96,'SPC-CPN_Q&amp;A'!$O:$O,"Application")</f>
        <v>#REF!</v>
      </c>
      <c r="AF96" s="83" t="e">
        <f>COUNTIFS('SPC-CPN_Q&amp;A'!#REF!,W$1,'SPC-CPN_Q&amp;A'!#REF!,'Writing assignments'!$C96,'SPC-CPN_Q&amp;A'!$O:$O,"Analysis")</f>
        <v>#REF!</v>
      </c>
      <c r="AG96" s="82"/>
      <c r="AK96" s="84"/>
      <c r="AM96" s="83" t="e">
        <f t="shared" si="16"/>
        <v>#REF!</v>
      </c>
      <c r="AN96" s="83" t="e">
        <f>COUNTIFS('SPC-CPN_Q&amp;A'!#REF!,AG$1,'SPC-CPN_Q&amp;A'!#REF!,'Writing assignments'!$C96,'SPC-CPN_Q&amp;A'!$O:$O,"Recall")</f>
        <v>#REF!</v>
      </c>
      <c r="AO96" s="83" t="e">
        <f>COUNTIFS('SPC-CPN_Q&amp;A'!#REF!,AG$1,'SPC-CPN_Q&amp;A'!#REF!,'Writing assignments'!$C96,'SPC-CPN_Q&amp;A'!$O:$O,"Application")</f>
        <v>#REF!</v>
      </c>
      <c r="AP96" s="83" t="e">
        <f>COUNTIFS('SPC-CPN_Q&amp;A'!#REF!,AG$1,'SPC-CPN_Q&amp;A'!#REF!,'Writing assignments'!$C96,'SPC-CPN_Q&amp;A'!$O:$O,"Analysis")</f>
        <v>#REF!</v>
      </c>
      <c r="AQ96" s="82"/>
      <c r="AR96" s="83">
        <v>0</v>
      </c>
      <c r="AU96" s="84"/>
      <c r="BB96" s="83" t="e">
        <f t="shared" si="17"/>
        <v>#REF!</v>
      </c>
      <c r="BC96" s="83" t="e">
        <f>COUNTIFS('SPC-CPN_Q&amp;A'!#REF!,AV$1,'SPC-CPN_Q&amp;A'!#REF!,'Writing assignments'!$C96,'SPC-CPN_Q&amp;A'!$O:$O,"Recall")</f>
        <v>#REF!</v>
      </c>
      <c r="BD96" s="83" t="e">
        <f>COUNTIFS('SPC-CPN_Q&amp;A'!#REF!,AV$1,'SPC-CPN_Q&amp;A'!#REF!,'Writing assignments'!$C96,'SPC-CPN_Q&amp;A'!$O:$O,"Application")</f>
        <v>#REF!</v>
      </c>
      <c r="BE96" s="83" t="e">
        <f>COUNTIFS('SPC-CPN_Q&amp;A'!#REF!,AV$1,'SPC-CPN_Q&amp;A'!#REF!,'Writing assignments'!$C96,'SPC-CPN_Q&amp;A'!$O:$O,"Analysis")</f>
        <v>#REF!</v>
      </c>
      <c r="BF96" s="82"/>
      <c r="BJ96" s="84"/>
      <c r="BL96" s="83" t="e">
        <f t="shared" si="18"/>
        <v>#REF!</v>
      </c>
      <c r="BM96" s="83" t="e">
        <f>COUNTIFS('SPC-CPN_Q&amp;A'!#REF!,BF$1,'SPC-CPN_Q&amp;A'!#REF!,'Writing assignments'!$C96,'SPC-CPN_Q&amp;A'!$O:$O,"Recall")</f>
        <v>#REF!</v>
      </c>
      <c r="BN96" s="83" t="e">
        <f>COUNTIFS('SPC-CPN_Q&amp;A'!#REF!,BF$1,'SPC-CPN_Q&amp;A'!#REF!,'Writing assignments'!$C96,'SPC-CPN_Q&amp;A'!$O:$O,"Application")</f>
        <v>#REF!</v>
      </c>
      <c r="BO96" s="83" t="e">
        <f>COUNTIFS('SPC-CPN_Q&amp;A'!#REF!,BF$1,'SPC-CPN_Q&amp;A'!#REF!,'Writing assignments'!$C96,'SPC-CPN_Q&amp;A'!$O:$O,"Analysis")</f>
        <v>#REF!</v>
      </c>
      <c r="BP96" s="82"/>
      <c r="BT96" s="84"/>
      <c r="BV96" s="83" t="e">
        <f t="shared" si="19"/>
        <v>#REF!</v>
      </c>
      <c r="BW96" s="83" t="e">
        <f>COUNTIFS('SPC-CPN_Q&amp;A'!#REF!,BP$1,'SPC-CPN_Q&amp;A'!#REF!,'Writing assignments'!$C96,'SPC-CPN_Q&amp;A'!$O:$O,"Recall")</f>
        <v>#REF!</v>
      </c>
      <c r="BX96" s="83" t="e">
        <f>COUNTIFS('SPC-CPN_Q&amp;A'!#REF!,BP$1,'SPC-CPN_Q&amp;A'!#REF!,'Writing assignments'!$C96,'SPC-CPN_Q&amp;A'!$O:$O,"Application")</f>
        <v>#REF!</v>
      </c>
      <c r="BY96" s="83" t="e">
        <f>COUNTIFS('SPC-CPN_Q&amp;A'!#REF!,BP$1,'SPC-CPN_Q&amp;A'!#REF!,'Writing assignments'!$C96,'SPC-CPN_Q&amp;A'!$O:$O,"Analysis")</f>
        <v>#REF!</v>
      </c>
      <c r="CA96" s="83">
        <v>0</v>
      </c>
    </row>
    <row r="97" spans="2:79" x14ac:dyDescent="0.25">
      <c r="B97" s="74" t="s">
        <v>3663</v>
      </c>
      <c r="C97" s="74" t="s">
        <v>3674</v>
      </c>
      <c r="D97" s="6"/>
      <c r="E97" s="6">
        <v>0</v>
      </c>
      <c r="F97" s="6">
        <v>2</v>
      </c>
      <c r="G97" s="6">
        <v>1</v>
      </c>
      <c r="H97" s="79">
        <f t="shared" si="12"/>
        <v>3</v>
      </c>
      <c r="I97" s="6"/>
      <c r="J97" s="42">
        <f t="shared" si="11"/>
        <v>0</v>
      </c>
      <c r="K97" s="82" t="s">
        <v>71</v>
      </c>
      <c r="L97" s="84">
        <v>1</v>
      </c>
      <c r="M97" s="82" t="s">
        <v>71</v>
      </c>
      <c r="N97" s="83">
        <f t="shared" si="13"/>
        <v>2</v>
      </c>
      <c r="P97" s="83">
        <v>1</v>
      </c>
      <c r="Q97" s="83">
        <v>1</v>
      </c>
      <c r="S97" s="83" t="e">
        <f t="shared" si="14"/>
        <v>#REF!</v>
      </c>
      <c r="T97" s="83" t="e">
        <f>COUNTIFS('SPC-CPN_Q&amp;A'!#REF!,M$1,'SPC-CPN_Q&amp;A'!#REF!,'Writing assignments'!$C97,'SPC-CPN_Q&amp;A'!$O:$O,"Recall")</f>
        <v>#REF!</v>
      </c>
      <c r="U97" s="83" t="e">
        <f>COUNTIFS('SPC-CPN_Q&amp;A'!#REF!,M$1,'SPC-CPN_Q&amp;A'!#REF!,'Writing assignments'!$C97,'SPC-CPN_Q&amp;A'!$O:$O,"Application")</f>
        <v>#REF!</v>
      </c>
      <c r="V97" s="84" t="e">
        <f>COUNTIFS('SPC-CPN_Q&amp;A'!#REF!,M$1,'SPC-CPN_Q&amp;A'!#REF!,'Writing assignments'!$C97,'SPC-CPN_Q&amp;A'!$O:$O,"Analysis")</f>
        <v>#REF!</v>
      </c>
      <c r="AA97" s="84"/>
      <c r="AC97" s="83" t="e">
        <f t="shared" si="15"/>
        <v>#REF!</v>
      </c>
      <c r="AD97" s="83" t="e">
        <f>COUNTIFS('SPC-CPN_Q&amp;A'!#REF!,W$1,'SPC-CPN_Q&amp;A'!#REF!,'Writing assignments'!$C97,'SPC-CPN_Q&amp;A'!$O:$O,"Recall")</f>
        <v>#REF!</v>
      </c>
      <c r="AE97" s="83" t="e">
        <f>COUNTIFS('SPC-CPN_Q&amp;A'!#REF!,W$1,'SPC-CPN_Q&amp;A'!#REF!,'Writing assignments'!$C97,'SPC-CPN_Q&amp;A'!$O:$O,"Application")</f>
        <v>#REF!</v>
      </c>
      <c r="AF97" s="83" t="e">
        <f>COUNTIFS('SPC-CPN_Q&amp;A'!#REF!,W$1,'SPC-CPN_Q&amp;A'!#REF!,'Writing assignments'!$C97,'SPC-CPN_Q&amp;A'!$O:$O,"Analysis")</f>
        <v>#REF!</v>
      </c>
      <c r="AG97" s="82"/>
      <c r="AK97" s="84"/>
      <c r="AM97" s="83" t="e">
        <f t="shared" si="16"/>
        <v>#REF!</v>
      </c>
      <c r="AN97" s="83" t="e">
        <f>COUNTIFS('SPC-CPN_Q&amp;A'!#REF!,AG$1,'SPC-CPN_Q&amp;A'!#REF!,'Writing assignments'!$C97,'SPC-CPN_Q&amp;A'!$O:$O,"Recall")</f>
        <v>#REF!</v>
      </c>
      <c r="AO97" s="83" t="e">
        <f>COUNTIFS('SPC-CPN_Q&amp;A'!#REF!,AG$1,'SPC-CPN_Q&amp;A'!#REF!,'Writing assignments'!$C97,'SPC-CPN_Q&amp;A'!$O:$O,"Application")</f>
        <v>#REF!</v>
      </c>
      <c r="AP97" s="83" t="e">
        <f>COUNTIFS('SPC-CPN_Q&amp;A'!#REF!,AG$1,'SPC-CPN_Q&amp;A'!#REF!,'Writing assignments'!$C97,'SPC-CPN_Q&amp;A'!$O:$O,"Analysis")</f>
        <v>#REF!</v>
      </c>
      <c r="AQ97" s="82" t="s">
        <v>71</v>
      </c>
      <c r="AR97" s="83">
        <v>2</v>
      </c>
      <c r="AS97" s="83">
        <v>0</v>
      </c>
      <c r="AT97" s="83">
        <v>1</v>
      </c>
      <c r="AU97" s="84">
        <v>1</v>
      </c>
      <c r="BB97" s="83" t="e">
        <f t="shared" si="17"/>
        <v>#REF!</v>
      </c>
      <c r="BC97" s="83" t="e">
        <f>COUNTIFS('SPC-CPN_Q&amp;A'!#REF!,AV$1,'SPC-CPN_Q&amp;A'!#REF!,'Writing assignments'!$C97,'SPC-CPN_Q&amp;A'!$O:$O,"Recall")</f>
        <v>#REF!</v>
      </c>
      <c r="BD97" s="83" t="e">
        <f>COUNTIFS('SPC-CPN_Q&amp;A'!#REF!,AV$1,'SPC-CPN_Q&amp;A'!#REF!,'Writing assignments'!$C97,'SPC-CPN_Q&amp;A'!$O:$O,"Application")</f>
        <v>#REF!</v>
      </c>
      <c r="BE97" s="83" t="e">
        <f>COUNTIFS('SPC-CPN_Q&amp;A'!#REF!,AV$1,'SPC-CPN_Q&amp;A'!#REF!,'Writing assignments'!$C97,'SPC-CPN_Q&amp;A'!$O:$O,"Analysis")</f>
        <v>#REF!</v>
      </c>
      <c r="BF97" s="82"/>
      <c r="BJ97" s="84"/>
      <c r="BL97" s="83" t="e">
        <f t="shared" si="18"/>
        <v>#REF!</v>
      </c>
      <c r="BM97" s="83" t="e">
        <f>COUNTIFS('SPC-CPN_Q&amp;A'!#REF!,BF$1,'SPC-CPN_Q&amp;A'!#REF!,'Writing assignments'!$C97,'SPC-CPN_Q&amp;A'!$O:$O,"Recall")</f>
        <v>#REF!</v>
      </c>
      <c r="BN97" s="83" t="e">
        <f>COUNTIFS('SPC-CPN_Q&amp;A'!#REF!,BF$1,'SPC-CPN_Q&amp;A'!#REF!,'Writing assignments'!$C97,'SPC-CPN_Q&amp;A'!$O:$O,"Application")</f>
        <v>#REF!</v>
      </c>
      <c r="BO97" s="83" t="e">
        <f>COUNTIFS('SPC-CPN_Q&amp;A'!#REF!,BF$1,'SPC-CPN_Q&amp;A'!#REF!,'Writing assignments'!$C97,'SPC-CPN_Q&amp;A'!$O:$O,"Analysis")</f>
        <v>#REF!</v>
      </c>
      <c r="BP97" s="82"/>
      <c r="BT97" s="84"/>
      <c r="BV97" s="83" t="e">
        <f t="shared" si="19"/>
        <v>#REF!</v>
      </c>
      <c r="BW97" s="83" t="e">
        <f>COUNTIFS('SPC-CPN_Q&amp;A'!#REF!,BP$1,'SPC-CPN_Q&amp;A'!#REF!,'Writing assignments'!$C97,'SPC-CPN_Q&amp;A'!$O:$O,"Recall")</f>
        <v>#REF!</v>
      </c>
      <c r="BX97" s="83" t="e">
        <f>COUNTIFS('SPC-CPN_Q&amp;A'!#REF!,BP$1,'SPC-CPN_Q&amp;A'!#REF!,'Writing assignments'!$C97,'SPC-CPN_Q&amp;A'!$O:$O,"Application")</f>
        <v>#REF!</v>
      </c>
      <c r="BY97" s="83" t="e">
        <f>COUNTIFS('SPC-CPN_Q&amp;A'!#REF!,BP$1,'SPC-CPN_Q&amp;A'!#REF!,'Writing assignments'!$C97,'SPC-CPN_Q&amp;A'!$O:$O,"Analysis")</f>
        <v>#REF!</v>
      </c>
      <c r="CA97" s="83">
        <v>0</v>
      </c>
    </row>
    <row r="98" spans="2:79" ht="15.75" thickBot="1" x14ac:dyDescent="0.3">
      <c r="B98" s="74" t="s">
        <v>3663</v>
      </c>
      <c r="C98" s="74" t="s">
        <v>3675</v>
      </c>
      <c r="D98" s="6"/>
      <c r="E98" s="6">
        <v>0</v>
      </c>
      <c r="F98" s="6">
        <v>2</v>
      </c>
      <c r="G98" s="6">
        <v>1</v>
      </c>
      <c r="H98" s="6">
        <f t="shared" si="12"/>
        <v>3</v>
      </c>
      <c r="I98" s="6"/>
      <c r="J98" s="42">
        <f t="shared" si="11"/>
        <v>0</v>
      </c>
      <c r="K98" s="85" t="s">
        <v>71</v>
      </c>
      <c r="L98" s="87">
        <v>1</v>
      </c>
      <c r="M98" s="85" t="s">
        <v>71</v>
      </c>
      <c r="N98" s="86">
        <f t="shared" si="13"/>
        <v>2</v>
      </c>
      <c r="O98" s="86">
        <v>0</v>
      </c>
      <c r="P98" s="86">
        <v>1</v>
      </c>
      <c r="Q98" s="86">
        <v>1</v>
      </c>
      <c r="R98" s="86"/>
      <c r="S98" s="86" t="e">
        <f t="shared" si="14"/>
        <v>#REF!</v>
      </c>
      <c r="T98" s="86" t="e">
        <f>COUNTIFS('SPC-CPN_Q&amp;A'!#REF!,M$1,'SPC-CPN_Q&amp;A'!#REF!,'Writing assignments'!$C98,'SPC-CPN_Q&amp;A'!$O:$O,"Recall")</f>
        <v>#REF!</v>
      </c>
      <c r="U98" s="86" t="e">
        <f>COUNTIFS('SPC-CPN_Q&amp;A'!#REF!,M$1,'SPC-CPN_Q&amp;A'!#REF!,'Writing assignments'!$C98,'SPC-CPN_Q&amp;A'!$O:$O,"Application")</f>
        <v>#REF!</v>
      </c>
      <c r="V98" s="87" t="e">
        <f>COUNTIFS('SPC-CPN_Q&amp;A'!#REF!,M$1,'SPC-CPN_Q&amp;A'!#REF!,'Writing assignments'!$C98,'SPC-CPN_Q&amp;A'!$O:$O,"Analysis")</f>
        <v>#REF!</v>
      </c>
      <c r="W98" s="86"/>
      <c r="X98" s="86"/>
      <c r="Y98" s="86"/>
      <c r="Z98" s="86"/>
      <c r="AA98" s="87"/>
      <c r="AC98" s="83" t="e">
        <f t="shared" si="15"/>
        <v>#REF!</v>
      </c>
      <c r="AD98" s="83" t="e">
        <f>COUNTIFS('SPC-CPN_Q&amp;A'!#REF!,W$1,'SPC-CPN_Q&amp;A'!#REF!,'Writing assignments'!$C98,'SPC-CPN_Q&amp;A'!$O:$O,"Recall")</f>
        <v>#REF!</v>
      </c>
      <c r="AE98" s="83" t="e">
        <f>COUNTIFS('SPC-CPN_Q&amp;A'!#REF!,W$1,'SPC-CPN_Q&amp;A'!#REF!,'Writing assignments'!$C98,'SPC-CPN_Q&amp;A'!$O:$O,"Application")</f>
        <v>#REF!</v>
      </c>
      <c r="AF98" s="83" t="e">
        <f>COUNTIFS('SPC-CPN_Q&amp;A'!#REF!,W$1,'SPC-CPN_Q&amp;A'!#REF!,'Writing assignments'!$C98,'SPC-CPN_Q&amp;A'!$O:$O,"Analysis")</f>
        <v>#REF!</v>
      </c>
      <c r="AG98" s="85"/>
      <c r="AH98" s="86"/>
      <c r="AI98" s="86"/>
      <c r="AJ98" s="86"/>
      <c r="AK98" s="87"/>
      <c r="AL98" s="86"/>
      <c r="AM98" s="83" t="e">
        <f t="shared" si="16"/>
        <v>#REF!</v>
      </c>
      <c r="AN98" s="83" t="e">
        <f>COUNTIFS('SPC-CPN_Q&amp;A'!#REF!,AG$1,'SPC-CPN_Q&amp;A'!#REF!,'Writing assignments'!$C98,'SPC-CPN_Q&amp;A'!$O:$O,"Recall")</f>
        <v>#REF!</v>
      </c>
      <c r="AO98" s="83" t="e">
        <f>COUNTIFS('SPC-CPN_Q&amp;A'!#REF!,AG$1,'SPC-CPN_Q&amp;A'!#REF!,'Writing assignments'!$C98,'SPC-CPN_Q&amp;A'!$O:$O,"Application")</f>
        <v>#REF!</v>
      </c>
      <c r="AP98" s="83" t="e">
        <f>COUNTIFS('SPC-CPN_Q&amp;A'!#REF!,AG$1,'SPC-CPN_Q&amp;A'!#REF!,'Writing assignments'!$C98,'SPC-CPN_Q&amp;A'!$O:$O,"Analysis")</f>
        <v>#REF!</v>
      </c>
      <c r="AQ98" s="85"/>
      <c r="AR98" s="86">
        <v>0</v>
      </c>
      <c r="AS98" s="86"/>
      <c r="AT98" s="86"/>
      <c r="AU98" s="87"/>
      <c r="AV98" s="86"/>
      <c r="AW98" s="86"/>
      <c r="AX98" s="86"/>
      <c r="AY98" s="86"/>
      <c r="AZ98" s="86"/>
      <c r="BA98" s="86"/>
      <c r="BB98" s="83" t="e">
        <f t="shared" si="17"/>
        <v>#REF!</v>
      </c>
      <c r="BC98" s="83" t="e">
        <f>COUNTIFS('SPC-CPN_Q&amp;A'!#REF!,AV$1,'SPC-CPN_Q&amp;A'!#REF!,'Writing assignments'!$C98,'SPC-CPN_Q&amp;A'!$O:$O,"Recall")</f>
        <v>#REF!</v>
      </c>
      <c r="BD98" s="83" t="e">
        <f>COUNTIFS('SPC-CPN_Q&amp;A'!#REF!,AV$1,'SPC-CPN_Q&amp;A'!#REF!,'Writing assignments'!$C98,'SPC-CPN_Q&amp;A'!$O:$O,"Application")</f>
        <v>#REF!</v>
      </c>
      <c r="BE98" s="83" t="e">
        <f>COUNTIFS('SPC-CPN_Q&amp;A'!#REF!,AV$1,'SPC-CPN_Q&amp;A'!#REF!,'Writing assignments'!$C98,'SPC-CPN_Q&amp;A'!$O:$O,"Analysis")</f>
        <v>#REF!</v>
      </c>
      <c r="BF98" s="85"/>
      <c r="BG98" s="86"/>
      <c r="BH98" s="86"/>
      <c r="BI98" s="86"/>
      <c r="BJ98" s="87"/>
      <c r="BK98" s="86"/>
      <c r="BL98" s="83" t="e">
        <f t="shared" si="18"/>
        <v>#REF!</v>
      </c>
      <c r="BM98" s="83" t="e">
        <f>COUNTIFS('SPC-CPN_Q&amp;A'!#REF!,BF$1,'SPC-CPN_Q&amp;A'!#REF!,'Writing assignments'!$C98,'SPC-CPN_Q&amp;A'!$O:$O,"Recall")</f>
        <v>#REF!</v>
      </c>
      <c r="BN98" s="83" t="e">
        <f>COUNTIFS('SPC-CPN_Q&amp;A'!#REF!,BF$1,'SPC-CPN_Q&amp;A'!#REF!,'Writing assignments'!$C98,'SPC-CPN_Q&amp;A'!$O:$O,"Application")</f>
        <v>#REF!</v>
      </c>
      <c r="BO98" s="83" t="e">
        <f>COUNTIFS('SPC-CPN_Q&amp;A'!#REF!,BF$1,'SPC-CPN_Q&amp;A'!#REF!,'Writing assignments'!$C98,'SPC-CPN_Q&amp;A'!$O:$O,"Analysis")</f>
        <v>#REF!</v>
      </c>
      <c r="BP98" s="85"/>
      <c r="BQ98" s="86"/>
      <c r="BR98" s="86"/>
      <c r="BS98" s="86"/>
      <c r="BT98" s="87"/>
      <c r="BU98" s="86"/>
      <c r="BV98" s="83" t="e">
        <f t="shared" si="19"/>
        <v>#REF!</v>
      </c>
      <c r="BW98" s="83" t="e">
        <f>COUNTIFS('SPC-CPN_Q&amp;A'!#REF!,BP$1,'SPC-CPN_Q&amp;A'!#REF!,'Writing assignments'!$C98,'SPC-CPN_Q&amp;A'!$O:$O,"Recall")</f>
        <v>#REF!</v>
      </c>
      <c r="BX98" s="83" t="e">
        <f>COUNTIFS('SPC-CPN_Q&amp;A'!#REF!,BP$1,'SPC-CPN_Q&amp;A'!#REF!,'Writing assignments'!$C98,'SPC-CPN_Q&amp;A'!$O:$O,"Application")</f>
        <v>#REF!</v>
      </c>
      <c r="BY98" s="83" t="e">
        <f>COUNTIFS('SPC-CPN_Q&amp;A'!#REF!,BP$1,'SPC-CPN_Q&amp;A'!#REF!,'Writing assignments'!$C98,'SPC-CPN_Q&amp;A'!$O:$O,"Analysis")</f>
        <v>#REF!</v>
      </c>
      <c r="CA98" s="83">
        <v>0</v>
      </c>
    </row>
    <row r="99" spans="2:79" x14ac:dyDescent="0.25">
      <c r="B99" s="78"/>
      <c r="C99" s="78"/>
    </row>
    <row r="100" spans="2:79" x14ac:dyDescent="0.25">
      <c r="B100" s="78"/>
      <c r="C100" s="78"/>
    </row>
  </sheetData>
  <mergeCells count="10">
    <mergeCell ref="E1:H1"/>
    <mergeCell ref="M1:V1"/>
    <mergeCell ref="K1:L1"/>
    <mergeCell ref="BZ1:CA1"/>
    <mergeCell ref="AQ1:AU1"/>
    <mergeCell ref="W1:AF1"/>
    <mergeCell ref="AG1:AP1"/>
    <mergeCell ref="AV1:BE1"/>
    <mergeCell ref="BF1:BO1"/>
    <mergeCell ref="BP1:BY1"/>
  </mergeCells>
  <conditionalFormatting sqref="J1">
    <cfRule type="cellIs" dxfId="19" priority="30" operator="greaterThan">
      <formula>0</formula>
    </cfRule>
  </conditionalFormatting>
  <conditionalFormatting sqref="J5:J98">
    <cfRule type="cellIs" dxfId="18" priority="29" operator="greaterThan">
      <formula>0</formula>
    </cfRule>
  </conditionalFormatting>
  <conditionalFormatting sqref="S5:V98">
    <cfRule type="cellIs" dxfId="17" priority="1" operator="greaterThan">
      <formula>0</formula>
    </cfRule>
    <cfRule type="cellIs" dxfId="16" priority="2" operator="greaterThan">
      <formula>0</formula>
    </cfRule>
  </conditionalFormatting>
  <conditionalFormatting sqref="W5:AA93">
    <cfRule type="containsText" dxfId="15" priority="28" operator="containsText" text="*">
      <formula>NOT(ISERROR(SEARCH("*",W5)))</formula>
    </cfRule>
  </conditionalFormatting>
  <conditionalFormatting sqref="AB5:AF98">
    <cfRule type="cellIs" dxfId="14" priority="27" operator="greaterThan">
      <formula>0</formula>
    </cfRule>
  </conditionalFormatting>
  <conditionalFormatting sqref="AG5:AK98">
    <cfRule type="containsText" dxfId="13" priority="24" operator="containsText" text="*">
      <formula>NOT(ISERROR(SEARCH("*",AG5)))</formula>
    </cfRule>
  </conditionalFormatting>
  <conditionalFormatting sqref="AM5:AP98">
    <cfRule type="cellIs" dxfId="12" priority="23" operator="greaterThan">
      <formula>0</formula>
    </cfRule>
    <cfRule type="cellIs" dxfId="11" priority="25" operator="greaterThan">
      <formula>0</formula>
    </cfRule>
  </conditionalFormatting>
  <conditionalFormatting sqref="BB5:BE98">
    <cfRule type="cellIs" dxfId="10" priority="20" operator="greaterThan">
      <formula>0</formula>
    </cfRule>
    <cfRule type="cellIs" dxfId="9" priority="21" operator="greaterThan">
      <formula>0</formula>
    </cfRule>
  </conditionalFormatting>
  <conditionalFormatting sqref="BF5:BJ98">
    <cfRule type="containsText" dxfId="8" priority="16" operator="containsText" text="*">
      <formula>NOT(ISERROR(SEARCH("*",BF5)))</formula>
    </cfRule>
  </conditionalFormatting>
  <conditionalFormatting sqref="BL5:BO98">
    <cfRule type="cellIs" dxfId="7" priority="15" operator="greaterThan">
      <formula>0</formula>
    </cfRule>
    <cfRule type="cellIs" dxfId="6" priority="17" operator="greaterThan">
      <formula>0</formula>
    </cfRule>
    <cfRule type="cellIs" dxfId="5" priority="18" operator="greaterThan">
      <formula>0</formula>
    </cfRule>
  </conditionalFormatting>
  <conditionalFormatting sqref="BP5:BT98">
    <cfRule type="containsText" dxfId="4" priority="4" operator="containsText" text="*">
      <formula>NOT(ISERROR(SEARCH("*",BP5)))</formula>
    </cfRule>
  </conditionalFormatting>
  <conditionalFormatting sqref="BV5:BY98">
    <cfRule type="cellIs" dxfId="3" priority="5" operator="greaterThan">
      <formula>0</formula>
    </cfRule>
    <cfRule type="cellIs" dxfId="2" priority="7" operator="greaterThan">
      <formula>0</formula>
    </cfRule>
    <cfRule type="cellIs" dxfId="1" priority="8" operator="greaterThan">
      <formula>0</formula>
    </cfRule>
    <cfRule type="cellIs" dxfId="0" priority="9" operator="greater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10"/>
  <sheetViews>
    <sheetView workbookViewId="0">
      <selection activeCell="A6" sqref="A6"/>
    </sheetView>
  </sheetViews>
  <sheetFormatPr defaultRowHeight="15" x14ac:dyDescent="0.25"/>
  <cols>
    <col min="1" max="1" width="19.42578125" bestFit="1" customWidth="1"/>
    <col min="3" max="3" width="16" bestFit="1" customWidth="1"/>
    <col min="5" max="5" width="14.85546875" bestFit="1" customWidth="1"/>
    <col min="7" max="7" width="14.140625" bestFit="1" customWidth="1"/>
  </cols>
  <sheetData>
    <row r="1" spans="1:7" x14ac:dyDescent="0.25">
      <c r="A1" s="2" t="s">
        <v>64</v>
      </c>
      <c r="B1" s="2"/>
      <c r="C1" s="2" t="s">
        <v>3543</v>
      </c>
      <c r="D1" s="2"/>
      <c r="E1" s="2" t="s">
        <v>56</v>
      </c>
      <c r="F1" s="2"/>
      <c r="G1" s="2" t="s">
        <v>3676</v>
      </c>
    </row>
    <row r="2" spans="1:7" x14ac:dyDescent="0.25">
      <c r="A2" t="s">
        <v>3529</v>
      </c>
      <c r="G2" t="s">
        <v>3543</v>
      </c>
    </row>
    <row r="3" spans="1:7" x14ac:dyDescent="0.25">
      <c r="A3" t="s">
        <v>3530</v>
      </c>
      <c r="G3" t="s">
        <v>56</v>
      </c>
    </row>
    <row r="4" spans="1:7" x14ac:dyDescent="0.25">
      <c r="A4" t="s">
        <v>142</v>
      </c>
      <c r="G4" t="s">
        <v>76</v>
      </c>
    </row>
    <row r="5" spans="1:7" x14ac:dyDescent="0.25">
      <c r="A5" t="s">
        <v>3677</v>
      </c>
      <c r="G5" t="s">
        <v>3678</v>
      </c>
    </row>
    <row r="6" spans="1:7" x14ac:dyDescent="0.25">
      <c r="A6" t="s">
        <v>3679</v>
      </c>
      <c r="G6" t="s">
        <v>3680</v>
      </c>
    </row>
    <row r="7" spans="1:7" x14ac:dyDescent="0.25">
      <c r="A7" t="s">
        <v>3544</v>
      </c>
    </row>
    <row r="8" spans="1:7" x14ac:dyDescent="0.25">
      <c r="A8" t="s">
        <v>75</v>
      </c>
    </row>
    <row r="9" spans="1:7" x14ac:dyDescent="0.25">
      <c r="A9" t="s">
        <v>3545</v>
      </c>
    </row>
    <row r="10" spans="1:7" x14ac:dyDescent="0.25">
      <c r="A10" t="s">
        <v>88</v>
      </c>
    </row>
  </sheetData>
  <sortState ref="E2:E12">
    <sortCondition ref="E2:E1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B0D9E686290054E80DCC86816B66CB1" ma:contentTypeVersion="18" ma:contentTypeDescription="Create a new document." ma:contentTypeScope="" ma:versionID="b13ca351f9f1bd3ca36a0632cd2d8e74">
  <xsd:schema xmlns:xsd="http://www.w3.org/2001/XMLSchema" xmlns:xs="http://www.w3.org/2001/XMLSchema" xmlns:p="http://schemas.microsoft.com/office/2006/metadata/properties" xmlns:ns2="a3209410-7411-42e7-9aca-48d51ced76fb" xmlns:ns3="db136858-bf06-4456-abe7-d3e8907ad414" targetNamespace="http://schemas.microsoft.com/office/2006/metadata/properties" ma:root="true" ma:fieldsID="becb78636b6a5cf04e5a18e394ab3cbf" ns2:_="" ns3:_="">
    <xsd:import namespace="a3209410-7411-42e7-9aca-48d51ced76fb"/>
    <xsd:import namespace="db136858-bf06-4456-abe7-d3e8907ad4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209410-7411-42e7-9aca-48d51ced76f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d3522b8-67eb-4e19-bae2-683e0ae7f47d}" ma:internalName="TaxCatchAll" ma:showField="CatchAllData" ma:web="a3209410-7411-42e7-9aca-48d51ced76f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b136858-bf06-4456-abe7-d3e8907ad4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c329d9f-af8b-4c8c-84a0-b4a6e87ac8a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136858-bf06-4456-abe7-d3e8907ad414">
      <Terms xmlns="http://schemas.microsoft.com/office/infopath/2007/PartnerControls"/>
    </lcf76f155ced4ddcb4097134ff3c332f>
    <TaxCatchAll xmlns="a3209410-7411-42e7-9aca-48d51ced76fb" xsi:nil="true"/>
  </documentManagement>
</p:properties>
</file>

<file path=customXml/itemProps1.xml><?xml version="1.0" encoding="utf-8"?>
<ds:datastoreItem xmlns:ds="http://schemas.openxmlformats.org/officeDocument/2006/customXml" ds:itemID="{4F7E28CC-3289-4877-9056-1CAC06B5BFA3}">
  <ds:schemaRefs>
    <ds:schemaRef ds:uri="http://schemas.microsoft.com/sharepoint/v3/contenttype/forms"/>
  </ds:schemaRefs>
</ds:datastoreItem>
</file>

<file path=customXml/itemProps2.xml><?xml version="1.0" encoding="utf-8"?>
<ds:datastoreItem xmlns:ds="http://schemas.openxmlformats.org/officeDocument/2006/customXml" ds:itemID="{58F80F2B-410E-4DF9-A4BC-906C58388F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209410-7411-42e7-9aca-48d51ced76fb"/>
    <ds:schemaRef ds:uri="db136858-bf06-4456-abe7-d3e8907ad4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394C6E-0716-471F-9C8E-81007069A7FC}">
  <ds:schemaRefs>
    <ds:schemaRef ds:uri="http://schemas.microsoft.com/office/2006/metadata/properties"/>
    <ds:schemaRef ds:uri="http://schemas.microsoft.com/office/infopath/2007/PartnerControls"/>
    <ds:schemaRef ds:uri="d9d6713a-d15c-4738-b4cb-8f7c63f5821a"/>
    <ds:schemaRef ds:uri="146c2986-b4c8-458a-adf9-7b15cb4776a4"/>
    <ds:schemaRef ds:uri="db136858-bf06-4456-abe7-d3e8907ad414"/>
    <ds:schemaRef ds:uri="a3209410-7411-42e7-9aca-48d51ced76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Plan by domain (not used)</vt:lpstr>
      <vt:lpstr>SPC-CPN_Q&amp;A</vt:lpstr>
      <vt:lpstr>Batch planning - review</vt:lpstr>
      <vt:lpstr>Writing assignments</vt:lpstr>
      <vt:lpstr>Internal - tracking items</vt:lpstr>
      <vt:lpstr>Stage</vt:lpstr>
      <vt:lpstr>Workflow</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 Alt</dc:creator>
  <cp:keywords/>
  <dc:description/>
  <cp:lastModifiedBy>Trans-39</cp:lastModifiedBy>
  <cp:revision/>
  <dcterms:created xsi:type="dcterms:W3CDTF">2023-01-10T19:32:22Z</dcterms:created>
  <dcterms:modified xsi:type="dcterms:W3CDTF">2025-05-14T08:05:30Z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0x010100AB0D9E686290054E80DCC86816B66CB1</vt:lpwstr>
  </property>
  <property fmtid="{D5CDD505-2E9C-101B-9397-08002B2CF9AE}" pid="3" name="MediaServiceImageTags">
    <vt:lpwstr/>
  </property>
</Properties>
</file>